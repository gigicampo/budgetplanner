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f998b58c044c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alytics" sheetId="1" r:id="R066a8fec93d44917"/>
    <x:sheet xmlns:r="http://schemas.openxmlformats.org/officeDocument/2006/relationships" name="MyBudget" sheetId="2" r:id="R9ce9ff22b4cd4e89"/>
    <x:sheet xmlns:r="http://schemas.openxmlformats.org/officeDocument/2006/relationships" name="MyExpenses" sheetId="3" r:id="R18d34188b92f4e8b"/>
    <x:sheet xmlns:r="http://schemas.openxmlformats.org/officeDocument/2006/relationships" name="My Income" sheetId="4" r:id="Rbce91d26303a4477"/>
    <x:sheet xmlns:r="http://schemas.openxmlformats.org/officeDocument/2006/relationships" name="Start Here" sheetId="5" r:id="R513a071d94264b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[Red](#,##0.00)"/>
    <x:numFmt numFmtId="201" formatCode="#,##0.00"/>
    <x:numFmt numFmtId="202" formatCode="mm/dd/yyyy"/>
  </x:numFmts>
  <x:fonts count="14">
    <x:font>
      <x:sz val="11"/>
      <x:name val="Carlito"/>
    </x:font>
    <x:font>
      <x:sz val="11"/>
      <x:color rgb="FF4F554D"/>
      <x:name val="Arial"/>
    </x:font>
    <x:font>
      <x:sz val="28"/>
      <x:color rgb="FF303630"/>
      <x:name val="Arial"/>
    </x:font>
    <x:font>
      <x:i/>
      <x:sz val="11"/>
      <x:color rgb="FF7D9094"/>
      <x:name val="Arial"/>
    </x:font>
    <x:font>
      <x:sz val="19"/>
      <x:color rgb="FF60665A"/>
      <x:name val="Arial"/>
    </x:font>
    <x:font>
      <x:i/>
      <x:sz val="11"/>
      <x:color rgb="FFA35E62"/>
      <x:name val="Arial"/>
    </x:font>
    <x:font>
      <x:sz val="11"/>
      <x:color rgb="FF245A93"/>
      <x:name val="Arial"/>
    </x:font>
    <x:font>
      <x:sz val="10"/>
      <x:color rgb="FF737B73"/>
      <x:name val="Arial"/>
    </x:font>
    <x:font>
      <x:b/>
      <x:sz val="11"/>
      <x:color rgb="FF4F554D"/>
      <x:name val="Arial"/>
    </x:font>
    <x:font>
      <x:b/>
      <x:sz val="17"/>
      <x:color rgb="FF4F554D"/>
      <x:name val="Arial"/>
    </x:font>
    <x:font>
      <x:b/>
      <x:sz val="13"/>
      <x:color rgb="FF4F554D"/>
      <x:name val="Arial"/>
    </x:font>
    <x:font>
      <x:b/>
      <x:sz val="11"/>
      <x:color rgb="FFFFFFFF"/>
      <x:name val="Arial"/>
    </x:font>
    <x:font>
      <x:b/>
      <x:sz val="11"/>
      <x:color rgb="FFFFFFFF"/>
      <x:name val="Carlito"/>
    </x:font>
    <x:font>
      <x:b/>
      <x:sz val="12"/>
      <x:color rgb="FFFFFFFF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F7F5F1"/>
      </x:patternFill>
    </x:fill>
    <x:fill>
      <x:patternFill patternType="solid">
        <x:fgColor rgb="FFFFF2CC"/>
      </x:patternFill>
    </x:fill>
    <x:fill>
      <x:patternFill patternType="solid">
        <x:fgColor rgb="FFF9C8C2"/>
      </x:patternFill>
    </x:fill>
    <x:fill>
      <x:patternFill patternType="solid">
        <x:fgColor rgb="FFDDCFE3"/>
      </x:patternFill>
    </x:fill>
    <x:fill>
      <x:patternFill patternType="solid">
        <x:fgColor rgb="FFCFE2D7"/>
      </x:patternFill>
    </x:fill>
    <x:fill>
      <x:patternFill patternType="solid">
        <x:fgColor rgb="FFC9D9E2"/>
      </x:patternFill>
    </x:fill>
    <x:fill>
      <x:patternFill patternType="solid">
        <x:fgColor rgb="FF60665A"/>
      </x:patternFill>
    </x:fill>
  </x:fills>
  <x:borders count="1">
    <x:border/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0" fontId="7" fillId="2" borderId="0" xfId="0" applyNumberFormat="1" applyFont="1" applyFill="1" applyBorder="1"/>
    <x:xf numFmtId="0" fontId="1" fillId="4" borderId="0" xfId="0" applyNumberFormat="1" applyFont="1" applyFill="1" applyBorder="1"/>
    <x:xf numFmtId="0" fontId="8" fillId="4" borderId="0" xfId="0" applyNumberFormat="1" applyFont="1" applyFill="1" applyBorder="1"/>
    <x:xf numFmtId="0" fontId="9" fillId="4" borderId="0" xfId="0" applyNumberFormat="1" applyFont="1" applyFill="1" applyBorder="1"/>
    <x:xf numFmtId="200" fontId="9" fillId="4" borderId="0" xfId="0" applyNumberFormat="1" applyFont="1" applyFill="1" applyBorder="1"/>
    <x:xf numFmtId="0" fontId="1" fillId="5" borderId="0" xfId="0" applyNumberFormat="1" applyFont="1" applyFill="1" applyBorder="1"/>
    <x:xf numFmtId="0" fontId="8" fillId="5" borderId="0" xfId="0" applyNumberFormat="1" applyFont="1" applyFill="1" applyBorder="1"/>
    <x:xf numFmtId="0" fontId="9" fillId="5" borderId="0" xfId="0" applyNumberFormat="1" applyFont="1" applyFill="1" applyBorder="1"/>
    <x:xf numFmtId="200" fontId="9" fillId="5" borderId="0" xfId="0" applyNumberFormat="1" applyFont="1" applyFill="1" applyBorder="1"/>
    <x:xf numFmtId="0" fontId="1" fillId="6" borderId="0" xfId="0" applyNumberFormat="1" applyFont="1" applyFill="1" applyBorder="1"/>
    <x:xf numFmtId="0" fontId="8" fillId="6" borderId="0" xfId="0" applyNumberFormat="1" applyFont="1" applyFill="1" applyBorder="1"/>
    <x:xf numFmtId="0" fontId="9" fillId="6" borderId="0" xfId="0" applyNumberFormat="1" applyFont="1" applyFill="1" applyBorder="1"/>
    <x:xf numFmtId="200" fontId="9" fillId="6" borderId="0" xfId="0" applyNumberFormat="1" applyFont="1" applyFill="1" applyBorder="1"/>
    <x:xf numFmtId="0" fontId="1" fillId="7" borderId="0" xfId="0" applyNumberFormat="1" applyFont="1" applyFill="1" applyBorder="1"/>
    <x:xf numFmtId="0" fontId="8" fillId="7" borderId="0" xfId="0" applyNumberFormat="1" applyFont="1" applyFill="1" applyBorder="1"/>
    <x:xf numFmtId="0" fontId="9" fillId="7" borderId="0" xfId="0" applyNumberFormat="1" applyFont="1" applyFill="1" applyBorder="1"/>
    <x:xf numFmtId="200" fontId="9" fillId="7" borderId="0" xfId="0" applyNumberFormat="1" applyFont="1" applyFill="1" applyBorder="1"/>
    <x:xf numFmtId="0" fontId="10" fillId="2" borderId="0" xfId="0" applyNumberFormat="1" applyFont="1" applyFill="1" applyBorder="1"/>
    <x:xf numFmtId="0" fontId="1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0" xfId="0" applyNumberFormat="1" applyFont="1" applyFill="1" applyBorder="1" applyAlignment="1">
      <x:alignment wrapText="1"/>
    </x:xf>
    <x:xf numFmtId="201" fontId="1" fillId="2" borderId="0" xfId="0" applyNumberFormat="1" applyFont="1" applyFill="1" applyBorder="1"/>
    <x:xf numFmtId="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0" fontId="13" fillId="8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B3262D"/>
      </x:font>
      <x:fill>
        <x:patternFill patternType="solid">
          <x:bgColor rgb="FFFBE1DF"/>
        </x:patternFill>
      </x:fill>
    </x:dxf>
    <x:dxf>
      <x:font>
        <x:color rgb="FF9B242B"/>
      </x:font>
      <x:fill>
        <x:patternFill patternType="solid">
          <x:bgColor rgb="FFFBE1DF"/>
        </x:patternFill>
      </x:fill>
    </x:dxf>
    <x:dxf>
      <x:font>
        <x:color rgb="FF9B242B"/>
      </x:font>
      <x:fill>
        <x:patternFill patternType="solid">
          <x:bgColor rgb="FFFBE1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32d8cb00554cf8" /><Relationship Type="http://schemas.openxmlformats.org/officeDocument/2006/relationships/theme" Target="/xl/theme/theme1.xml" Id="R330db8c66d5b4173" /><Relationship Type="http://schemas.openxmlformats.org/officeDocument/2006/relationships/sharedStrings" Target="/xl/sharedStrings.xml" Id="Rbd8a0b45ee464a58" /><Relationship Type="http://schemas.openxmlformats.org/officeDocument/2006/relationships/worksheet" Target="/xl/worksheets/sheet1.xml" Id="R066a8fec93d44917" /><Relationship Type="http://schemas.openxmlformats.org/officeDocument/2006/relationships/worksheet" Target="/xl/worksheets/sheet2.xml" Id="R9ce9ff22b4cd4e89" /><Relationship Type="http://schemas.openxmlformats.org/officeDocument/2006/relationships/worksheet" Target="/xl/worksheets/sheet3.xml" Id="R18d34188b92f4e8b" /><Relationship Type="http://schemas.openxmlformats.org/officeDocument/2006/relationships/worksheet" Target="/xl/worksheets/sheet4.xml" Id="Rbce91d26303a4477" /><Relationship Type="http://schemas.openxmlformats.org/officeDocument/2006/relationships/worksheet" Target="/xl/worksheets/sheet5.xml" Id="R513a071d94264b9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332f4746ba44d7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Budget, expenses and net income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Budget</c:v>
          </c:tx>
          <c:spPr>
            <a:solidFill xmlns:a="http://schemas.openxmlformats.org/drawingml/2006/main">
              <a:srgbClr val="86A994"/>
            </a:solidFill>
          </c:spPr>
          <c:cat>
            <c:strRef>
              <c:f>'Analytics'!$O$39:$O$68</c:f>
              <c:strCache>
                <c:ptCount val="30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</c:strCache>
            </c:strRef>
          </c:cat>
          <c:val>
            <c:numRef>
              <c:f>'Analytics'!$P$39:$P$68</c:f>
              <c:numCache>
                <c:ptCount val="30"/>
                <c:pt idx="0">
                  <c:v>5000</c:v>
                </c:pt>
                <c:pt idx="1">
                  <c:v>7000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er>
          <c:idx val="1"/>
          <c:order val="1"/>
          <c:tx>
            <c:v>Expenses</c:v>
          </c:tx>
          <c:spPr>
            <a:solidFill xmlns:a="http://schemas.openxmlformats.org/drawingml/2006/main">
              <a:srgbClr val="E2A0A2"/>
            </a:solidFill>
          </c:spPr>
          <c:cat>
            <c:strRef>
              <c:f>'Analytics'!$O$39:$O$68</c:f>
              <c:strCache>
                <c:ptCount val="30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</c:strCache>
            </c:strRef>
          </c:cat>
          <c:val>
            <c:numRef>
              <c:f>'Analytics'!$Q$39:$Q$68</c:f>
              <c:numCache>
                <c:ptCount val="30"/>
                <c:pt idx="0">
                  <c:v>5500</c:v>
                </c:pt>
                <c:pt idx="1">
                  <c:v>6000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er>
          <c:idx val="2"/>
          <c:order val="2"/>
          <c:tx>
            <c:v>Net Income</c:v>
          </c:tx>
          <c:spPr>
            <a:solidFill xmlns:a="http://schemas.openxmlformats.org/drawingml/2006/main">
              <a:srgbClr val="A98BB5"/>
            </a:solidFill>
          </c:spPr>
          <c:cat>
            <c:strRef>
              <c:f>'Analytics'!$O$39:$O$68</c:f>
              <c:strCache>
                <c:ptCount val="30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</c:strCache>
            </c:strRef>
          </c:cat>
          <c:val>
            <c:numRef>
              <c:f>'Analytics'!$R$39:$R$68</c:f>
              <c:numCache>
                <c:ptCount val="30"/>
                <c:pt idx="0">
                  <c:v>27500</c:v>
                </c:pt>
                <c:pt idx="1">
                  <c:v>28000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er>
          <c:idx val="3"/>
          <c:order val="3"/>
          <c:tx>
            <c:v>Over Budget</c:v>
          </c:tx>
          <c:spPr>
            <a:solidFill xmlns:a="http://schemas.openxmlformats.org/drawingml/2006/main">
              <a:srgbClr val="B3262D"/>
            </a:solidFill>
          </c:spPr>
          <c:cat>
            <c:strRef>
              <c:f>'Analytics'!$O$39:$O$68</c:f>
              <c:strCache>
                <c:ptCount val="30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</c:strCache>
            </c:strRef>
          </c:cat>
          <c:val>
            <c:numRef>
              <c:f>'Analytics'!$S$39:$S$68</c:f>
              <c:numCache>
                <c:ptCount val="30"/>
                <c:pt idx="0">
                  <c:v>500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17</xdr:row>
      <xdr:rowOff>0</xdr:rowOff>
    </xdr:from>
    <xdr:to>
      <xdr:col>13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332f4746ba44d7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fee1677db6248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2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2"/>
      <x:c r="B2" s="3" t="str">
        <x:v>BUDGET PLANNER</x:v>
      </x:c>
      <x:c r="C2" s="3" t="str">
        <x:v>BUDGET PLANNER</x:v>
      </x:c>
      <x:c r="D2" s="3" t="str">
        <x:v>BUDGET PLANNER</x:v>
      </x:c>
      <x:c r="E2" s="3" t="str">
        <x:v>BUDGET PLANNER</x:v>
      </x:c>
      <x:c r="F2" s="3" t="str">
        <x:v>BUDGET PLANNER</x:v>
      </x:c>
      <x:c r="G2" s="3" t="str">
        <x:v>BUDGET PLANNER</x:v>
      </x:c>
      <x:c r="H2" s="3" t="str">
        <x:v>BUDGET PLANNER</x:v>
      </x:c>
      <x:c r="I2" s="3" t="str">
        <x:v>BUDGET PLANNER</x:v>
      </x:c>
      <x:c r="J2" s="3" t="str">
        <x:v>BUDGET PLANNER</x:v>
      </x:c>
      <x:c r="K2" s="3" t="str">
        <x:v>BUDGET PLANNER</x:v>
      </x:c>
      <x:c r="L2" s="2"/>
    </x:row>
    <x:row r="3" ht="24" customHeight="1">
      <x:c r="A3" s="2"/>
      <x:c r="B3" s="3" t="str">
        <x:v>BUDGET PLANNER</x:v>
      </x:c>
      <x:c r="C3" s="3" t="str">
        <x:v>BUDGET PLANNER</x:v>
      </x:c>
      <x:c r="D3" s="3" t="str">
        <x:v>BUDGET PLANNER</x:v>
      </x:c>
      <x:c r="E3" s="3" t="str">
        <x:v>BUDGET PLANNER</x:v>
      </x:c>
      <x:c r="F3" s="3" t="str">
        <x:v>BUDGET PLANNER</x:v>
      </x:c>
      <x:c r="G3" s="3" t="str">
        <x:v>BUDGET PLANNER</x:v>
      </x:c>
      <x:c r="H3" s="3" t="str">
        <x:v>BUDGET PLANNER</x:v>
      </x:c>
      <x:c r="I3" s="3" t="str">
        <x:v>BUDGET PLANNER</x:v>
      </x:c>
      <x:c r="J3" s="3" t="str">
        <x:v>BUDGET PLANNER</x:v>
      </x:c>
      <x:c r="K3" s="3" t="str">
        <x:v>BUDGET PLANNER</x:v>
      </x:c>
      <x:c r="L3" s="2"/>
    </x:row>
    <x:row r="4" ht="24" customHeight="1">
      <x:c r="A4" s="2"/>
      <x:c r="B4" s="4" t="str">
        <x:v>Spend Intentionally. Live Freely.</x:v>
      </x:c>
      <x:c r="C4" s="4" t="str">
        <x:v>Spend Intentionally. Live Freely.</x:v>
      </x:c>
      <x:c r="D4" s="4" t="str">
        <x:v>Spend Intentionally. Live Freely.</x:v>
      </x:c>
      <x:c r="E4" s="4" t="str">
        <x:v>Spend Intentionally. Live Freely.</x:v>
      </x:c>
      <x:c r="F4" s="4" t="str">
        <x:v>Spend Intentionally. Live Freely.</x:v>
      </x:c>
      <x:c r="G4" s="4" t="str">
        <x:v>Spend Intentionally. Live Freely.</x:v>
      </x:c>
      <x:c r="H4" s="4" t="str">
        <x:v>Spend Intentionally. Live Freely.</x:v>
      </x:c>
      <x:c r="I4" s="4" t="str">
        <x:v>Spend Intentionally. Live Freely.</x:v>
      </x:c>
      <x:c r="J4" s="4" t="str">
        <x:v>Spend Intentionally. Live Freely.</x:v>
      </x:c>
      <x:c r="K4" s="4" t="str">
        <x:v>Spend Intentionally. Live Freely.</x:v>
      </x:c>
      <x:c r="L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4" customHeight="1">
      <x:c r="A6" s="2"/>
      <x:c r="B6" s="5" t="str">
        <x:f>IF(HOUR(NOW())&lt;12,"Good Morning, ",IF(HOUR(NOW())&lt;18,"Good Afternoon, ","Good Evening, "))&amp;C8&amp;"!"</x:f>
        <x:v>Good Morning, Friend!</x:v>
      </x:c>
      <x:c r="C6" s="5" t="str"/>
      <x:c r="D6" s="5" t="str"/>
      <x:c r="E6" s="5" t="str"/>
      <x:c r="F6" s="5" t="str"/>
      <x:c r="G6" s="5" t="str"/>
      <x:c r="H6" s="5" t="str"/>
      <x:c r="I6" s="5" t="str"/>
      <x:c r="J6" s="5" t="str"/>
      <x:c r="K6" s="5" t="str"/>
      <x:c r="L6" s="2"/>
    </x:row>
    <x:row r="7" ht="24" customHeight="1">
      <x:c r="A7" s="2"/>
      <x:c r="B7" s="6" t="str">
        <x:v>Small steps today lead to big changes tomorrow.</x:v>
      </x:c>
      <x:c r="C7" s="6" t="str">
        <x:v>Small steps today lead to big changes tomorrow.</x:v>
      </x:c>
      <x:c r="D7" s="6" t="str">
        <x:v>Small steps today lead to big changes tomorrow.</x:v>
      </x:c>
      <x:c r="E7" s="6" t="str">
        <x:v>Small steps today lead to big changes tomorrow.</x:v>
      </x:c>
      <x:c r="F7" s="6" t="str">
        <x:v>Small steps today lead to big changes tomorrow.</x:v>
      </x:c>
      <x:c r="G7" s="6" t="str">
        <x:v>Small steps today lead to big changes tomorrow.</x:v>
      </x:c>
      <x:c r="H7" s="6" t="str">
        <x:v>Small steps today lead to big changes tomorrow.</x:v>
      </x:c>
      <x:c r="I7" s="6" t="str">
        <x:v>Small steps today lead to big changes tomorrow.</x:v>
      </x:c>
      <x:c r="J7" s="6" t="str">
        <x:v>Small steps today lead to big changes tomorrow.</x:v>
      </x:c>
      <x:c r="K7" s="6" t="str">
        <x:v>Small steps today lead to big changes tomorrow.</x:v>
      </x:c>
      <x:c r="L7" s="2"/>
    </x:row>
    <x:row r="8" ht="28" customHeight="1">
      <x:c r="A8" s="2"/>
      <x:c r="B8" s="2" t="str">
        <x:v>Name</x:v>
      </x:c>
      <x:c r="C8" s="8" t="str">
        <x:v>Friend</x:v>
      </x:c>
      <x:c r="D8" s="8"/>
      <x:c r="E8" s="2" t="str">
        <x:v>Currency</x:v>
      </x:c>
      <x:c r="F8" s="8" t="str">
        <x:v>PHP</x:v>
      </x:c>
      <x:c r="G8" s="8"/>
      <x:c r="H8" s="2" t="str">
        <x:v>Year</x:v>
      </x:c>
      <x:c r="I8" s="8" t="n">
        <x:v>2026</x:v>
      </x:c>
      <x:c r="J8" s="8"/>
      <x:c r="K8" s="8"/>
      <x:c r="L8" s="2"/>
    </x:row>
    <x:row r="9" ht="28" customHeight="1">
      <x:c r="A9" s="2"/>
      <x:c r="B9" s="2" t="str">
        <x:v>Month</x:v>
      </x:c>
      <x:c r="C9" s="8" t="str">
        <x:v>All Months</x:v>
      </x:c>
      <x:c r="D9" s="8"/>
      <x:c r="E9" s="2" t="str">
        <x:v>View</x:v>
      </x:c>
      <x:c r="F9" s="8" t="str">
        <x:v>By Month</x:v>
      </x:c>
      <x:c r="G9" s="8"/>
      <x:c r="H9" s="2"/>
      <x:c r="I9" s="2"/>
      <x:c r="J9" s="2"/>
      <x:c r="K9" s="2"/>
      <x:c r="L9" s="2"/>
    </x:row>
    <x:row r="10" ht="24" customHeight="1">
      <x:c r="A10" s="2"/>
      <x:c r="B10" s="9" t="str">
        <x:v>Currency labels only; no exchange-rate conversion. Yellow cells are editable.</x:v>
      </x:c>
      <x:c r="C10" s="9" t="str">
        <x:v>Currency labels only; no exchange-rate conversion. Yellow cells are editable.</x:v>
      </x:c>
      <x:c r="D10" s="9" t="str">
        <x:v>Currency labels only; no exchange-rate conversion. Yellow cells are editable.</x:v>
      </x:c>
      <x:c r="E10" s="9" t="str">
        <x:v>Currency labels only; no exchange-rate conversion. Yellow cells are editable.</x:v>
      </x:c>
      <x:c r="F10" s="9" t="str">
        <x:v>Currency labels only; no exchange-rate conversion. Yellow cells are editable.</x:v>
      </x:c>
      <x:c r="G10" s="9" t="str">
        <x:v>Currency labels only; no exchange-rate conversion. Yellow cells are editable.</x:v>
      </x:c>
      <x:c r="H10" s="9" t="str">
        <x:v>Currency labels only; no exchange-rate conversion. Yellow cells are editable.</x:v>
      </x:c>
      <x:c r="I10" s="9" t="str">
        <x:v>Currency labels only; no exchange-rate conversion. Yellow cells are editable.</x:v>
      </x:c>
      <x:c r="J10" s="9" t="str">
        <x:v>Currency labels only; no exchange-rate conversion. Yellow cells are editable.</x:v>
      </x:c>
      <x:c r="K10" s="9" t="str">
        <x:v>Currency labels only; no exchange-rate conversion. Yellow cells are editable.</x:v>
      </x:c>
      <x:c r="L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4" customHeight="1">
      <x:c r="A12" s="2"/>
      <x:c r="B12" s="11" t="str">
        <x:v>Total Budget</x:v>
      </x:c>
      <x:c r="C12" s="11" t="str">
        <x:v>Total Budget</x:v>
      </x:c>
      <x:c r="D12" s="2"/>
      <x:c r="E12" s="15" t="str">
        <x:v>Net Income</x:v>
      </x:c>
      <x:c r="F12" s="15" t="str">
        <x:v>Net Income</x:v>
      </x:c>
      <x:c r="G12" s="2"/>
      <x:c r="H12" s="19" t="str">
        <x:v>Total Expenses</x:v>
      </x:c>
      <x:c r="I12" s="19" t="str">
        <x:v>Total Expenses</x:v>
      </x:c>
      <x:c r="J12" s="2"/>
      <x:c r="K12" s="23" t="str">
        <x:v>Available Balance</x:v>
      </x:c>
      <x:c r="L12" s="23" t="str">
        <x:v>Available Balance</x:v>
      </x:c>
    </x:row>
    <x:row r="13" ht="40" customHeight="1">
      <x:c r="A13" s="2"/>
      <x:c r="B13" s="13" t="n">
        <x:f>SUM(B39:B50)</x:f>
        <x:v>12000</x:v>
      </x:c>
      <x:c r="C13" s="13"/>
      <x:c r="D13" s="2"/>
      <x:c r="E13" s="17" t="n">
        <x:f>SUM(D39:D50)</x:f>
        <x:v>55500</x:v>
      </x:c>
      <x:c r="F13" s="17"/>
      <x:c r="G13" s="2"/>
      <x:c r="H13" s="21" t="n">
        <x:f>SUM(C39:C50)</x:f>
        <x:v>11500</x:v>
      </x:c>
      <x:c r="I13" s="21"/>
      <x:c r="J13" s="2"/>
      <x:c r="K13" s="25" t="n">
        <x:f>E13-H13</x:f>
        <x:v>44000</x:v>
      </x:c>
      <x:c r="L13" s="25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4" customHeight="1">
      <x:c r="A15" s="2"/>
      <x:c r="B15" s="26" t="str">
        <x:f>IF(H13&gt;B13,"Over budget by "&amp;F8&amp;" "&amp;TEXT(H13-B13,"#,##0.00"),"Budget remaining: "&amp;F8&amp;" "&amp;TEXT(B13-H13,"#,##0.00"))</x:f>
        <x:v>Budget remaining: PHP 500.00</x:v>
      </x:c>
      <x:c r="C15" s="26" t="str"/>
      <x:c r="D15" s="26" t="str"/>
      <x:c r="E15" s="26" t="str"/>
      <x:c r="F15" s="26" t="str"/>
      <x:c r="G15" s="26" t="str"/>
      <x:c r="H15" s="26" t="str"/>
      <x:c r="I15" s="26" t="str"/>
      <x:c r="J15" s="26" t="str"/>
      <x:c r="K15" s="26" t="str"/>
      <x:c r="L15" s="26" t="str"/>
    </x:row>
    <x:row r="16" ht="24" customHeight="1">
      <x:c r="A16" s="2"/>
      <x:c r="B16" s="2" t="str">
        <x:f>"Amounts in "&amp;F8&amp;". Red Over Budget bars show the amount above the plan."</x:f>
        <x:v>Amounts in PHP. Red Over Budget bars show the amount above the plan.</x:v>
      </x:c>
      <x:c r="C16" s="2" t="str"/>
      <x:c r="D16" s="2" t="str"/>
      <x:c r="E16" s="2" t="str"/>
      <x:c r="F16" s="2" t="str"/>
      <x:c r="G16" s="2" t="str"/>
      <x:c r="H16" s="2" t="str"/>
      <x:c r="I16" s="2" t="str"/>
      <x:c r="J16" s="2" t="str"/>
      <x:c r="K16" s="2" t="str"/>
      <x:c r="L16" s="2" t="str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32" customHeight="1">
      <x:c r="A38" s="29" t="str">
        <x:v>Period / Category</x:v>
      </x:c>
      <x:c r="B38" s="29" t="str">
        <x:v>Budget</x:v>
      </x:c>
      <x:c r="C38" s="29" t="str">
        <x:v>Expenses</x:v>
      </x:c>
      <x:c r="D38" s="29" t="str">
        <x:v>Net Income</x:v>
      </x:c>
      <x:c r="E38" s="29" t="str">
        <x:v>Over Budget</x:v>
      </x:c>
      <x:c r="F38" s="29" t="str">
        <x:v>Status</x:v>
      </x:c>
      <x:c r="G38" s="2"/>
      <x:c r="H38" s="29" t="str">
        <x:v>Period / Category</x:v>
      </x:c>
      <x:c r="I38" s="29" t="str">
        <x:v>Budget</x:v>
      </x:c>
      <x:c r="J38" s="29" t="str">
        <x:v>Expenses</x:v>
      </x:c>
      <x:c r="K38" s="29" t="str">
        <x:v>Net Income</x:v>
      </x:c>
      <x:c r="L38" s="29" t="str">
        <x:v>Over Budget</x:v>
      </x:c>
      <x:c r="M38" s="32" t="str">
        <x:v>Status</x:v>
      </x:c>
      <x:c r="O38" s="32" t="str">
        <x:v>Period / Category</x:v>
      </x:c>
      <x:c r="P38" s="32" t="str">
        <x:v>Budget</x:v>
      </x:c>
      <x:c r="Q38" s="32" t="str">
        <x:v>Expenses</x:v>
      </x:c>
      <x:c r="R38" s="32" t="str">
        <x:v>Net Income</x:v>
      </x:c>
      <x:c r="S38" s="32" t="str">
        <x:v>Over Budget</x:v>
      </x:c>
    </x:row>
    <x:row r="39" ht="24" customHeight="1">
      <x:c r="A39" s="2" t="str">
        <x:v>January</x:v>
      </x:c>
      <x:c r="B39" s="33" t="n">
        <x:f>IF(OR($C$9="All Months",$C$9=A39),SUMIFS('MyBudget'!$F$2:$F$1001,'MyBudget'!$D$2:$D$1001,A39,'MyBudget'!$E$2:$E$1001,$I$8),0)</x:f>
        <x:v>5000</x:v>
      </x:c>
      <x:c r="C39" s="33" t="n">
        <x:f>IF(OR($C$9="All Months",$C$9=A39),SUMIFS('MyExpenses'!$F$2:$F$1001,'MyExpenses'!$A$2:$A$1001,"&gt;="&amp;DATE($I$8,1,1),'MyExpenses'!$A$2:$A$1001,"&lt;"&amp;DATE($I$8,2,1)),0)</x:f>
        <x:v>5500</x:v>
      </x:c>
      <x:c r="D39" s="33" t="n">
        <x:f>IF(OR($C$9="All Months",$C$9=A39),SUMIFS('My Income'!$H$2:$H$1001,'My Income'!$C$2:$C$1001,A39,'My Income'!$D$2:$D$1001,$I$8),0)</x:f>
        <x:v>27500</x:v>
      </x:c>
      <x:c r="E39" s="33" t="n">
        <x:f>MAX(0,C39-B39)</x:f>
        <x:v>500</x:v>
      </x:c>
      <x:c r="F39" s="2" t="str">
        <x:f>IF(E39&gt;0,"Over budget","Within budget")</x:f>
        <x:v>Over budget</x:v>
      </x:c>
      <x:c r="G39" s="2"/>
      <x:c r="H39" s="7" t="str">
        <x:v>Basic Necessities</x:v>
      </x:c>
      <x:c r="I39" s="33" t="n">
        <x:f>IF(H39="",0,SUMIFS('MyBudget'!$F$2:$F$1001,'MyBudget'!$B$2:$B$1001,H39,'MyBudget'!$E$2:$E$1001,$I$8,'MyBudget'!$D$2:$D$1001,IF($C$9="All Months","*",$C$9)))</x:f>
        <x:v>10000</x:v>
      </x:c>
      <x:c r="J39" s="33" t="n">
        <x:f>IF(H39="",0,SUMIFS('MyExpenses'!$F$2:$F$1001,'MyExpenses'!$E$2:$E$1001,H39,'MyExpenses'!$A$2:$A$1001,"&gt;="&amp;DATE($I$8,IF($C$9="All Months",1,MATCH($C$9,$A$39:$A$50,0)),1),'MyExpenses'!$A$2:$A$1001,"&lt;"&amp;DATE($I$8,IF($C$9="All Months",13,MATCH($C$9,$A$39:$A$50,0)+1),1)))</x:f>
        <x:v>9700</x:v>
      </x:c>
      <x:c r="K39" s="33" t="n">
        <x:f>IF(H39="",0,SUMIFS('My Income'!$H$2:$H$1001,'My Income'!$B$2:$B$1001,H39,'My Income'!$D$2:$D$1001,$I$8,'My Income'!$C$2:$C$1001,IF($C$9="All Months","*",$C$9)))</x:f>
        <x:v>0</x:v>
      </x:c>
      <x:c r="L39" s="33" t="n">
        <x:f>MAX(0,J39-I39)</x:f>
        <x:v>0</x:v>
      </x:c>
      <x:c r="M39" t="str">
        <x:f>IF(H39="","",IF(L39&gt;0,"Over budget","Within budget"))</x:f>
        <x:v>Within budget</x:v>
      </x:c>
      <x:c r="O39" t="str">
        <x:f>IF($F$9="By Month",A39,H39)</x:f>
        <x:v>January</x:v>
      </x:c>
      <x:c r="P39" t="n">
        <x:f>IF($F$9="By Month",B39,I39)</x:f>
        <x:v>5000</x:v>
      </x:c>
      <x:c r="Q39" t="n">
        <x:f>IF($F$9="By Month",C39,J39)</x:f>
        <x:v>5500</x:v>
      </x:c>
      <x:c r="R39" t="n">
        <x:f>IF($F$9="By Month",D39,K39)</x:f>
        <x:v>27500</x:v>
      </x:c>
      <x:c r="S39" t="n">
        <x:f>IF($F$9="By Month",E39,L39)</x:f>
        <x:v>500</x:v>
      </x:c>
    </x:row>
    <x:row r="40" ht="24" customHeight="1">
      <x:c r="A40" s="2" t="str">
        <x:v>February</x:v>
      </x:c>
      <x:c r="B40" s="33" t="n">
        <x:f>IF(OR($C$9="All Months",$C$9=A40),SUMIFS('MyBudget'!$F$2:$F$1001,'MyBudget'!$D$2:$D$1001,A40,'MyBudget'!$E$2:$E$1001,$I$8),0)</x:f>
        <x:v>7000</x:v>
      </x:c>
      <x:c r="C40" s="33" t="n">
        <x:f>IF(OR($C$9="All Months",$C$9=A40),SUMIFS('MyExpenses'!$F$2:$F$1001,'MyExpenses'!$A$2:$A$1001,"&gt;="&amp;DATE($I$8,2,1),'MyExpenses'!$A$2:$A$1001,"&lt;"&amp;DATE($I$8,3,1)),0)</x:f>
        <x:v>6000</x:v>
      </x:c>
      <x:c r="D40" s="33" t="n">
        <x:f>IF(OR($C$9="All Months",$C$9=A40),SUMIFS('My Income'!$H$2:$H$1001,'My Income'!$C$2:$C$1001,A40,'My Income'!$D$2:$D$1001,$I$8),0)</x:f>
        <x:v>28000</x:v>
      </x:c>
      <x:c r="E40" s="33" t="n">
        <x:f>MAX(0,C40-B40)</x:f>
        <x:v>0</x:v>
      </x:c>
      <x:c r="F40" s="2" t="str">
        <x:f>IF(E40&gt;0,"Over budget","Within budget")</x:f>
        <x:v>Within budget</x:v>
      </x:c>
      <x:c r="G40" s="2"/>
      <x:c r="H40" s="7" t="str">
        <x:v>Bills</x:v>
      </x:c>
      <x:c r="I40" s="33" t="n">
        <x:f>IF(H40="",0,SUMIFS('MyBudget'!$F$2:$F$1001,'MyBudget'!$B$2:$B$1001,H40,'MyBudget'!$E$2:$E$1001,$I$8,'MyBudget'!$D$2:$D$1001,IF($C$9="All Months","*",$C$9)))</x:f>
        <x:v>2000</x:v>
      </x:c>
      <x:c r="J40" s="33" t="n">
        <x:f>IF(H40="",0,SUMIFS('MyExpenses'!$F$2:$F$1001,'MyExpenses'!$E$2:$E$1001,H40,'MyExpenses'!$A$2:$A$1001,"&gt;="&amp;DATE($I$8,IF($C$9="All Months",1,MATCH($C$9,$A$39:$A$50,0)),1),'MyExpenses'!$A$2:$A$1001,"&lt;"&amp;DATE($I$8,IF($C$9="All Months",13,MATCH($C$9,$A$39:$A$50,0)+1),1)))</x:f>
        <x:v>1800</x:v>
      </x:c>
      <x:c r="K40" s="33" t="n">
        <x:f>IF(H40="",0,SUMIFS('My Income'!$H$2:$H$1001,'My Income'!$B$2:$B$1001,H40,'My Income'!$D$2:$D$1001,$I$8,'My Income'!$C$2:$C$1001,IF($C$9="All Months","*",$C$9)))</x:f>
        <x:v>0</x:v>
      </x:c>
      <x:c r="L40" s="33" t="n">
        <x:f>MAX(0,J40-I40)</x:f>
        <x:v>0</x:v>
      </x:c>
      <x:c r="M40" t="str">
        <x:f>IF(H40="","",IF(L40&gt;0,"Over budget","Within budget"))</x:f>
        <x:v>Within budget</x:v>
      </x:c>
      <x:c r="O40" t="str">
        <x:f>IF($F$9="By Month",A40,H40)</x:f>
        <x:v>February</x:v>
      </x:c>
      <x:c r="P40" t="n">
        <x:f>IF($F$9="By Month",B40,I40)</x:f>
        <x:v>7000</x:v>
      </x:c>
      <x:c r="Q40" t="n">
        <x:f>IF($F$9="By Month",C40,J40)</x:f>
        <x:v>6000</x:v>
      </x:c>
      <x:c r="R40" t="n">
        <x:f>IF($F$9="By Month",D40,K40)</x:f>
        <x:v>28000</x:v>
      </x:c>
      <x:c r="S40" t="n">
        <x:f>IF($F$9="By Month",E40,L40)</x:f>
        <x:v>0</x:v>
      </x:c>
    </x:row>
    <x:row r="41" ht="24" customHeight="1">
      <x:c r="A41" s="2" t="str">
        <x:v>March</x:v>
      </x:c>
      <x:c r="B41" s="33" t="n">
        <x:f>IF(OR($C$9="All Months",$C$9=A41),SUMIFS('MyBudget'!$F$2:$F$1001,'MyBudget'!$D$2:$D$1001,A41,'MyBudget'!$E$2:$E$1001,$I$8),0)</x:f>
        <x:v>0</x:v>
      </x:c>
      <x:c r="C41" s="33" t="n">
        <x:f>IF(OR($C$9="All Months",$C$9=A41),SUMIFS('MyExpenses'!$F$2:$F$1001,'MyExpenses'!$A$2:$A$1001,"&gt;="&amp;DATE($I$8,3,1),'MyExpenses'!$A$2:$A$1001,"&lt;"&amp;DATE($I$8,4,1)),0)</x:f>
        <x:v>0</x:v>
      </x:c>
      <x:c r="D41" s="33" t="n">
        <x:f>IF(OR($C$9="All Months",$C$9=A41),SUMIFS('My Income'!$H$2:$H$1001,'My Income'!$C$2:$C$1001,A41,'My Income'!$D$2:$D$1001,$I$8),0)</x:f>
        <x:v>0</x:v>
      </x:c>
      <x:c r="E41" s="33" t="n">
        <x:f>MAX(0,C41-B41)</x:f>
        <x:v>0</x:v>
      </x:c>
      <x:c r="F41" s="2" t="str">
        <x:f>IF(E41&gt;0,"Over budget","Within budget")</x:f>
        <x:v>Within budget</x:v>
      </x:c>
      <x:c r="G41" s="2"/>
      <x:c r="H41" s="7" t="str">
        <x:v>School</x:v>
      </x:c>
      <x:c r="I41" s="33" t="n">
        <x:f>IF(H41="",0,SUMIFS('MyBudget'!$F$2:$F$1001,'MyBudget'!$B$2:$B$1001,H41,'MyBudget'!$E$2:$E$1001,$I$8,'MyBudget'!$D$2:$D$1001,IF($C$9="All Months","*",$C$9)))</x:f>
        <x:v>0</x:v>
      </x:c>
      <x:c r="J41" s="33" t="n">
        <x:f>IF(H41="",0,SUMIFS('MyExpenses'!$F$2:$F$1001,'MyExpenses'!$E$2:$E$1001,H41,'MyExpenses'!$A$2:$A$1001,"&gt;="&amp;DATE($I$8,IF($C$9="All Months",1,MATCH($C$9,$A$39:$A$50,0)),1),'MyExpenses'!$A$2:$A$1001,"&lt;"&amp;DATE($I$8,IF($C$9="All Months",13,MATCH($C$9,$A$39:$A$50,0)+1),1)))</x:f>
        <x:v>0</x:v>
      </x:c>
      <x:c r="K41" s="33" t="n">
        <x:f>IF(H41="",0,SUMIFS('My Income'!$H$2:$H$1001,'My Income'!$B$2:$B$1001,H41,'My Income'!$D$2:$D$1001,$I$8,'My Income'!$C$2:$C$1001,IF($C$9="All Months","*",$C$9)))</x:f>
        <x:v>0</x:v>
      </x:c>
      <x:c r="L41" s="33" t="n">
        <x:f>MAX(0,J41-I41)</x:f>
        <x:v>0</x:v>
      </x:c>
      <x:c r="M41" t="str">
        <x:f>IF(H41="","",IF(L41&gt;0,"Over budget","Within budget"))</x:f>
        <x:v>Within budget</x:v>
      </x:c>
      <x:c r="O41" t="str">
        <x:f>IF($F$9="By Month",A41,H41)</x:f>
        <x:v>March</x:v>
      </x:c>
      <x:c r="P41" t="n">
        <x:f>IF($F$9="By Month",B41,I41)</x:f>
        <x:v>0</x:v>
      </x:c>
      <x:c r="Q41" t="n">
        <x:f>IF($F$9="By Month",C41,J41)</x:f>
        <x:v>0</x:v>
      </x:c>
      <x:c r="R41" t="n">
        <x:f>IF($F$9="By Month",D41,K41)</x:f>
        <x:v>0</x:v>
      </x:c>
      <x:c r="S41" t="n">
        <x:f>IF($F$9="By Month",E41,L41)</x:f>
        <x:v>0</x:v>
      </x:c>
    </x:row>
    <x:row r="42" ht="24" customHeight="1">
      <x:c r="A42" s="2" t="str">
        <x:v>April</x:v>
      </x:c>
      <x:c r="B42" s="33" t="n">
        <x:f>IF(OR($C$9="All Months",$C$9=A42),SUMIFS('MyBudget'!$F$2:$F$1001,'MyBudget'!$D$2:$D$1001,A42,'MyBudget'!$E$2:$E$1001,$I$8),0)</x:f>
        <x:v>0</x:v>
      </x:c>
      <x:c r="C42" s="33" t="n">
        <x:f>IF(OR($C$9="All Months",$C$9=A42),SUMIFS('MyExpenses'!$F$2:$F$1001,'MyExpenses'!$A$2:$A$1001,"&gt;="&amp;DATE($I$8,4,1),'MyExpenses'!$A$2:$A$1001,"&lt;"&amp;DATE($I$8,5,1)),0)</x:f>
        <x:v>0</x:v>
      </x:c>
      <x:c r="D42" s="33" t="n">
        <x:f>IF(OR($C$9="All Months",$C$9=A42),SUMIFS('My Income'!$H$2:$H$1001,'My Income'!$C$2:$C$1001,A42,'My Income'!$D$2:$D$1001,$I$8),0)</x:f>
        <x:v>0</x:v>
      </x:c>
      <x:c r="E42" s="33" t="n">
        <x:f>MAX(0,C42-B42)</x:f>
        <x:v>0</x:v>
      </x:c>
      <x:c r="F42" s="2" t="str">
        <x:f>IF(E42&gt;0,"Over budget","Within budget")</x:f>
        <x:v>Within budget</x:v>
      </x:c>
      <x:c r="G42" s="2"/>
      <x:c r="H42" s="7" t="str">
        <x:v>Events</x:v>
      </x:c>
      <x:c r="I42" s="33" t="n">
        <x:f>IF(H42="",0,SUMIFS('MyBudget'!$F$2:$F$1001,'MyBudget'!$B$2:$B$1001,H42,'MyBudget'!$E$2:$E$1001,$I$8,'MyBudget'!$D$2:$D$1001,IF($C$9="All Months","*",$C$9)))</x:f>
        <x:v>0</x:v>
      </x:c>
      <x:c r="J42" s="33" t="n">
        <x:f>IF(H42="",0,SUMIFS('MyExpenses'!$F$2:$F$1001,'MyExpenses'!$E$2:$E$1001,H42,'MyExpenses'!$A$2:$A$1001,"&gt;="&amp;DATE($I$8,IF($C$9="All Months",1,MATCH($C$9,$A$39:$A$50,0)),1),'MyExpenses'!$A$2:$A$1001,"&lt;"&amp;DATE($I$8,IF($C$9="All Months",13,MATCH($C$9,$A$39:$A$50,0)+1),1)))</x:f>
        <x:v>0</x:v>
      </x:c>
      <x:c r="K42" s="33" t="n">
        <x:f>IF(H42="",0,SUMIFS('My Income'!$H$2:$H$1001,'My Income'!$B$2:$B$1001,H42,'My Income'!$D$2:$D$1001,$I$8,'My Income'!$C$2:$C$1001,IF($C$9="All Months","*",$C$9)))</x:f>
        <x:v>0</x:v>
      </x:c>
      <x:c r="L42" s="33" t="n">
        <x:f>MAX(0,J42-I42)</x:f>
        <x:v>0</x:v>
      </x:c>
      <x:c r="M42" t="str">
        <x:f>IF(H42="","",IF(L42&gt;0,"Over budget","Within budget"))</x:f>
        <x:v>Within budget</x:v>
      </x:c>
      <x:c r="O42" t="str">
        <x:f>IF($F$9="By Month",A42,H42)</x:f>
        <x:v>April</x:v>
      </x:c>
      <x:c r="P42" t="n">
        <x:f>IF($F$9="By Month",B42,I42)</x:f>
        <x:v>0</x:v>
      </x:c>
      <x:c r="Q42" t="n">
        <x:f>IF($F$9="By Month",C42,J42)</x:f>
        <x:v>0</x:v>
      </x:c>
      <x:c r="R42" t="n">
        <x:f>IF($F$9="By Month",D42,K42)</x:f>
        <x:v>0</x:v>
      </x:c>
      <x:c r="S42" t="n">
        <x:f>IF($F$9="By Month",E42,L42)</x:f>
        <x:v>0</x:v>
      </x:c>
    </x:row>
    <x:row r="43" ht="24" customHeight="1">
      <x:c r="A43" s="2" t="str">
        <x:v>May</x:v>
      </x:c>
      <x:c r="B43" s="33" t="n">
        <x:f>IF(OR($C$9="All Months",$C$9=A43),SUMIFS('MyBudget'!$F$2:$F$1001,'MyBudget'!$D$2:$D$1001,A43,'MyBudget'!$E$2:$E$1001,$I$8),0)</x:f>
        <x:v>0</x:v>
      </x:c>
      <x:c r="C43" s="33" t="n">
        <x:f>IF(OR($C$9="All Months",$C$9=A43),SUMIFS('MyExpenses'!$F$2:$F$1001,'MyExpenses'!$A$2:$A$1001,"&gt;="&amp;DATE($I$8,5,1),'MyExpenses'!$A$2:$A$1001,"&lt;"&amp;DATE($I$8,6,1)),0)</x:f>
        <x:v>0</x:v>
      </x:c>
      <x:c r="D43" s="33" t="n">
        <x:f>IF(OR($C$9="All Months",$C$9=A43),SUMIFS('My Income'!$H$2:$H$1001,'My Income'!$C$2:$C$1001,A43,'My Income'!$D$2:$D$1001,$I$8),0)</x:f>
        <x:v>0</x:v>
      </x:c>
      <x:c r="E43" s="33" t="n">
        <x:f>MAX(0,C43-B43)</x:f>
        <x:v>0</x:v>
      </x:c>
      <x:c r="F43" s="2" t="str">
        <x:f>IF(E43&gt;0,"Over budget","Within budget")</x:f>
        <x:v>Within budget</x:v>
      </x:c>
      <x:c r="G43" s="2"/>
      <x:c r="H43" s="7" t="str">
        <x:v>Goals</x:v>
      </x:c>
      <x:c r="I43" s="33" t="n">
        <x:f>IF(H43="",0,SUMIFS('MyBudget'!$F$2:$F$1001,'MyBudget'!$B$2:$B$1001,H43,'MyBudget'!$E$2:$E$1001,$I$8,'MyBudget'!$D$2:$D$1001,IF($C$9="All Months","*",$C$9)))</x:f>
        <x:v>0</x:v>
      </x:c>
      <x:c r="J43" s="33" t="n">
        <x:f>IF(H43="",0,SUMIFS('MyExpenses'!$F$2:$F$1001,'MyExpenses'!$E$2:$E$1001,H43,'MyExpenses'!$A$2:$A$1001,"&gt;="&amp;DATE($I$8,IF($C$9="All Months",1,MATCH($C$9,$A$39:$A$50,0)),1),'MyExpenses'!$A$2:$A$1001,"&lt;"&amp;DATE($I$8,IF($C$9="All Months",13,MATCH($C$9,$A$39:$A$50,0)+1),1)))</x:f>
        <x:v>0</x:v>
      </x:c>
      <x:c r="K43" s="33" t="n">
        <x:f>IF(H43="",0,SUMIFS('My Income'!$H$2:$H$1001,'My Income'!$B$2:$B$1001,H43,'My Income'!$D$2:$D$1001,$I$8,'My Income'!$C$2:$C$1001,IF($C$9="All Months","*",$C$9)))</x:f>
        <x:v>0</x:v>
      </x:c>
      <x:c r="L43" s="33" t="n">
        <x:f>MAX(0,J43-I43)</x:f>
        <x:v>0</x:v>
      </x:c>
      <x:c r="M43" t="str">
        <x:f>IF(H43="","",IF(L43&gt;0,"Over budget","Within budget"))</x:f>
        <x:v>Within budget</x:v>
      </x:c>
      <x:c r="O43" t="str">
        <x:f>IF($F$9="By Month",A43,H43)</x:f>
        <x:v>May</x:v>
      </x:c>
      <x:c r="P43" t="n">
        <x:f>IF($F$9="By Month",B43,I43)</x:f>
        <x:v>0</x:v>
      </x:c>
      <x:c r="Q43" t="n">
        <x:f>IF($F$9="By Month",C43,J43)</x:f>
        <x:v>0</x:v>
      </x:c>
      <x:c r="R43" t="n">
        <x:f>IF($F$9="By Month",D43,K43)</x:f>
        <x:v>0</x:v>
      </x:c>
      <x:c r="S43" t="n">
        <x:f>IF($F$9="By Month",E43,L43)</x:f>
        <x:v>0</x:v>
      </x:c>
    </x:row>
    <x:row r="44" ht="24" customHeight="1">
      <x:c r="A44" s="2" t="str">
        <x:v>June</x:v>
      </x:c>
      <x:c r="B44" s="33" t="n">
        <x:f>IF(OR($C$9="All Months",$C$9=A44),SUMIFS('MyBudget'!$F$2:$F$1001,'MyBudget'!$D$2:$D$1001,A44,'MyBudget'!$E$2:$E$1001,$I$8),0)</x:f>
        <x:v>0</x:v>
      </x:c>
      <x:c r="C44" s="33" t="n">
        <x:f>IF(OR($C$9="All Months",$C$9=A44),SUMIFS('MyExpenses'!$F$2:$F$1001,'MyExpenses'!$A$2:$A$1001,"&gt;="&amp;DATE($I$8,6,1),'MyExpenses'!$A$2:$A$1001,"&lt;"&amp;DATE($I$8,7,1)),0)</x:f>
        <x:v>0</x:v>
      </x:c>
      <x:c r="D44" s="33" t="n">
        <x:f>IF(OR($C$9="All Months",$C$9=A44),SUMIFS('My Income'!$H$2:$H$1001,'My Income'!$C$2:$C$1001,A44,'My Income'!$D$2:$D$1001,$I$8),0)</x:f>
        <x:v>0</x:v>
      </x:c>
      <x:c r="E44" s="33" t="n">
        <x:f>MAX(0,C44-B44)</x:f>
        <x:v>0</x:v>
      </x:c>
      <x:c r="F44" s="2" t="str">
        <x:f>IF(E44&gt;0,"Over budget","Within budget")</x:f>
        <x:v>Within budget</x:v>
      </x:c>
      <x:c r="G44" s="2"/>
      <x:c r="H44" s="7" t="str">
        <x:v>Salary</x:v>
      </x:c>
      <x:c r="I44" s="33" t="n">
        <x:f>IF(H44="",0,SUMIFS('MyBudget'!$F$2:$F$1001,'MyBudget'!$B$2:$B$1001,H44,'MyBudget'!$E$2:$E$1001,$I$8,'MyBudget'!$D$2:$D$1001,IF($C$9="All Months","*",$C$9)))</x:f>
        <x:v>0</x:v>
      </x:c>
      <x:c r="J44" s="33" t="n">
        <x:f>IF(H44="",0,SUMIFS('MyExpenses'!$F$2:$F$1001,'MyExpenses'!$E$2:$E$1001,H44,'MyExpenses'!$A$2:$A$1001,"&gt;="&amp;DATE($I$8,IF($C$9="All Months",1,MATCH($C$9,$A$39:$A$50,0)),1),'MyExpenses'!$A$2:$A$1001,"&lt;"&amp;DATE($I$8,IF($C$9="All Months",13,MATCH($C$9,$A$39:$A$50,0)+1),1)))</x:f>
        <x:v>0</x:v>
      </x:c>
      <x:c r="K44" s="33" t="n">
        <x:f>IF(H44="",0,SUMIFS('My Income'!$H$2:$H$1001,'My Income'!$B$2:$B$1001,H44,'My Income'!$D$2:$D$1001,$I$8,'My Income'!$C$2:$C$1001,IF($C$9="All Months","*",$C$9)))</x:f>
        <x:v>55500</x:v>
      </x:c>
      <x:c r="L44" s="33" t="n">
        <x:f>MAX(0,J44-I44)</x:f>
        <x:v>0</x:v>
      </x:c>
      <x:c r="M44" t="str">
        <x:f>IF(H44="","",IF(L44&gt;0,"Over budget","Within budget"))</x:f>
        <x:v>Within budget</x:v>
      </x:c>
      <x:c r="O44" t="str">
        <x:f>IF($F$9="By Month",A44,H44)</x:f>
        <x:v>June</x:v>
      </x:c>
      <x:c r="P44" t="n">
        <x:f>IF($F$9="By Month",B44,I44)</x:f>
        <x:v>0</x:v>
      </x:c>
      <x:c r="Q44" t="n">
        <x:f>IF($F$9="By Month",C44,J44)</x:f>
        <x:v>0</x:v>
      </x:c>
      <x:c r="R44" t="n">
        <x:f>IF($F$9="By Month",D44,K44)</x:f>
        <x:v>0</x:v>
      </x:c>
      <x:c r="S44" t="n">
        <x:f>IF($F$9="By Month",E44,L44)</x:f>
        <x:v>0</x:v>
      </x:c>
    </x:row>
    <x:row r="45" ht="24" customHeight="1">
      <x:c r="A45" s="2" t="str">
        <x:v>July</x:v>
      </x:c>
      <x:c r="B45" s="33" t="n">
        <x:f>IF(OR($C$9="All Months",$C$9=A45),SUMIFS('MyBudget'!$F$2:$F$1001,'MyBudget'!$D$2:$D$1001,A45,'MyBudget'!$E$2:$E$1001,$I$8),0)</x:f>
        <x:v>0</x:v>
      </x:c>
      <x:c r="C45" s="33" t="n">
        <x:f>IF(OR($C$9="All Months",$C$9=A45),SUMIFS('MyExpenses'!$F$2:$F$1001,'MyExpenses'!$A$2:$A$1001,"&gt;="&amp;DATE($I$8,7,1),'MyExpenses'!$A$2:$A$1001,"&lt;"&amp;DATE($I$8,8,1)),0)</x:f>
        <x:v>0</x:v>
      </x:c>
      <x:c r="D45" s="33" t="n">
        <x:f>IF(OR($C$9="All Months",$C$9=A45),SUMIFS('My Income'!$H$2:$H$1001,'My Income'!$C$2:$C$1001,A45,'My Income'!$D$2:$D$1001,$I$8),0)</x:f>
        <x:v>0</x:v>
      </x:c>
      <x:c r="E45" s="33" t="n">
        <x:f>MAX(0,C45-B45)</x:f>
        <x:v>0</x:v>
      </x:c>
      <x:c r="F45" s="2" t="str">
        <x:f>IF(E45&gt;0,"Over budget","Within budget")</x:f>
        <x:v>Within budget</x:v>
      </x:c>
      <x:c r="G45" s="2"/>
      <x:c r="H45" s="7" t="str">
        <x:v>Business</x:v>
      </x:c>
      <x:c r="I45" s="33" t="n">
        <x:f>IF(H45="",0,SUMIFS('MyBudget'!$F$2:$F$1001,'MyBudget'!$B$2:$B$1001,H45,'MyBudget'!$E$2:$E$1001,$I$8,'MyBudget'!$D$2:$D$1001,IF($C$9="All Months","*",$C$9)))</x:f>
        <x:v>0</x:v>
      </x:c>
      <x:c r="J45" s="33" t="n">
        <x:f>IF(H45="",0,SUMIFS('MyExpenses'!$F$2:$F$1001,'MyExpenses'!$E$2:$E$1001,H45,'MyExpenses'!$A$2:$A$1001,"&gt;="&amp;DATE($I$8,IF($C$9="All Months",1,MATCH($C$9,$A$39:$A$50,0)),1),'MyExpenses'!$A$2:$A$1001,"&lt;"&amp;DATE($I$8,IF($C$9="All Months",13,MATCH($C$9,$A$39:$A$50,0)+1),1)))</x:f>
        <x:v>0</x:v>
      </x:c>
      <x:c r="K45" s="33" t="n">
        <x:f>IF(H45="",0,SUMIFS('My Income'!$H$2:$H$1001,'My Income'!$B$2:$B$1001,H45,'My Income'!$D$2:$D$1001,$I$8,'My Income'!$C$2:$C$1001,IF($C$9="All Months","*",$C$9)))</x:f>
        <x:v>0</x:v>
      </x:c>
      <x:c r="L45" s="33" t="n">
        <x:f>MAX(0,J45-I45)</x:f>
        <x:v>0</x:v>
      </x:c>
      <x:c r="M45" t="str">
        <x:f>IF(H45="","",IF(L45&gt;0,"Over budget","Within budget"))</x:f>
        <x:v>Within budget</x:v>
      </x:c>
      <x:c r="O45" t="str">
        <x:f>IF($F$9="By Month",A45,H45)</x:f>
        <x:v>July</x:v>
      </x:c>
      <x:c r="P45" t="n">
        <x:f>IF($F$9="By Month",B45,I45)</x:f>
        <x:v>0</x:v>
      </x:c>
      <x:c r="Q45" t="n">
        <x:f>IF($F$9="By Month",C45,J45)</x:f>
        <x:v>0</x:v>
      </x:c>
      <x:c r="R45" t="n">
        <x:f>IF($F$9="By Month",D45,K45)</x:f>
        <x:v>0</x:v>
      </x:c>
      <x:c r="S45" t="n">
        <x:f>IF($F$9="By Month",E45,L45)</x:f>
        <x:v>0</x:v>
      </x:c>
    </x:row>
    <x:row r="46" ht="24" customHeight="1">
      <x:c r="A46" s="2" t="str">
        <x:v>August</x:v>
      </x:c>
      <x:c r="B46" s="33" t="n">
        <x:f>IF(OR($C$9="All Months",$C$9=A46),SUMIFS('MyBudget'!$F$2:$F$1001,'MyBudget'!$D$2:$D$1001,A46,'MyBudget'!$E$2:$E$1001,$I$8),0)</x:f>
        <x:v>0</x:v>
      </x:c>
      <x:c r="C46" s="33" t="n">
        <x:f>IF(OR($C$9="All Months",$C$9=A46),SUMIFS('MyExpenses'!$F$2:$F$1001,'MyExpenses'!$A$2:$A$1001,"&gt;="&amp;DATE($I$8,8,1),'MyExpenses'!$A$2:$A$1001,"&lt;"&amp;DATE($I$8,9,1)),0)</x:f>
        <x:v>0</x:v>
      </x:c>
      <x:c r="D46" s="33" t="n">
        <x:f>IF(OR($C$9="All Months",$C$9=A46),SUMIFS('My Income'!$H$2:$H$1001,'My Income'!$C$2:$C$1001,A46,'My Income'!$D$2:$D$1001,$I$8),0)</x:f>
        <x:v>0</x:v>
      </x:c>
      <x:c r="E46" s="33" t="n">
        <x:f>MAX(0,C46-B46)</x:f>
        <x:v>0</x:v>
      </x:c>
      <x:c r="F46" s="2" t="str">
        <x:f>IF(E46&gt;0,"Over budget","Within budget")</x:f>
        <x:v>Within budget</x:v>
      </x:c>
      <x:c r="G46" s="2"/>
      <x:c r="H46" s="7" t="str">
        <x:v>Part-Time</x:v>
      </x:c>
      <x:c r="I46" s="33" t="n">
        <x:f>IF(H46="",0,SUMIFS('MyBudget'!$F$2:$F$1001,'MyBudget'!$B$2:$B$1001,H46,'MyBudget'!$E$2:$E$1001,$I$8,'MyBudget'!$D$2:$D$1001,IF($C$9="All Months","*",$C$9)))</x:f>
        <x:v>0</x:v>
      </x:c>
      <x:c r="J46" s="33" t="n">
        <x:f>IF(H46="",0,SUMIFS('MyExpenses'!$F$2:$F$1001,'MyExpenses'!$E$2:$E$1001,H46,'MyExpenses'!$A$2:$A$1001,"&gt;="&amp;DATE($I$8,IF($C$9="All Months",1,MATCH($C$9,$A$39:$A$50,0)),1),'MyExpenses'!$A$2:$A$1001,"&lt;"&amp;DATE($I$8,IF($C$9="All Months",13,MATCH($C$9,$A$39:$A$50,0)+1),1)))</x:f>
        <x:v>0</x:v>
      </x:c>
      <x:c r="K46" s="33" t="n">
        <x:f>IF(H46="",0,SUMIFS('My Income'!$H$2:$H$1001,'My Income'!$B$2:$B$1001,H46,'My Income'!$D$2:$D$1001,$I$8,'My Income'!$C$2:$C$1001,IF($C$9="All Months","*",$C$9)))</x:f>
        <x:v>0</x:v>
      </x:c>
      <x:c r="L46" s="33" t="n">
        <x:f>MAX(0,J46-I46)</x:f>
        <x:v>0</x:v>
      </x:c>
      <x:c r="M46" t="str">
        <x:f>IF(H46="","",IF(L46&gt;0,"Over budget","Within budget"))</x:f>
        <x:v>Within budget</x:v>
      </x:c>
      <x:c r="O46" t="str">
        <x:f>IF($F$9="By Month",A46,H46)</x:f>
        <x:v>August</x:v>
      </x:c>
      <x:c r="P46" t="n">
        <x:f>IF($F$9="By Month",B46,I46)</x:f>
        <x:v>0</x:v>
      </x:c>
      <x:c r="Q46" t="n">
        <x:f>IF($F$9="By Month",C46,J46)</x:f>
        <x:v>0</x:v>
      </x:c>
      <x:c r="R46" t="n">
        <x:f>IF($F$9="By Month",D46,K46)</x:f>
        <x:v>0</x:v>
      </x:c>
      <x:c r="S46" t="n">
        <x:f>IF($F$9="By Month",E46,L46)</x:f>
        <x:v>0</x:v>
      </x:c>
    </x:row>
    <x:row r="47" ht="24" customHeight="1">
      <x:c r="A47" s="2" t="str">
        <x:v>September</x:v>
      </x:c>
      <x:c r="B47" s="33" t="n">
        <x:f>IF(OR($C$9="All Months",$C$9=A47),SUMIFS('MyBudget'!$F$2:$F$1001,'MyBudget'!$D$2:$D$1001,A47,'MyBudget'!$E$2:$E$1001,$I$8),0)</x:f>
        <x:v>0</x:v>
      </x:c>
      <x:c r="C47" s="33" t="n">
        <x:f>IF(OR($C$9="All Months",$C$9=A47),SUMIFS('MyExpenses'!$F$2:$F$1001,'MyExpenses'!$A$2:$A$1001,"&gt;="&amp;DATE($I$8,9,1),'MyExpenses'!$A$2:$A$1001,"&lt;"&amp;DATE($I$8,10,1)),0)</x:f>
        <x:v>0</x:v>
      </x:c>
      <x:c r="D47" s="33" t="n">
        <x:f>IF(OR($C$9="All Months",$C$9=A47),SUMIFS('My Income'!$H$2:$H$1001,'My Income'!$C$2:$C$1001,A47,'My Income'!$D$2:$D$1001,$I$8),0)</x:f>
        <x:v>0</x:v>
      </x:c>
      <x:c r="E47" s="33" t="n">
        <x:f>MAX(0,C47-B47)</x:f>
        <x:v>0</x:v>
      </x:c>
      <x:c r="F47" s="2" t="str">
        <x:f>IF(E47&gt;0,"Over budget","Within budget")</x:f>
        <x:v>Within budget</x:v>
      </x:c>
      <x:c r="G47" s="2"/>
      <x:c r="H47" s="7" t="str"/>
      <x:c r="I47" s="33" t="n">
        <x:f>IF(H47="",0,SUMIFS('MyBudget'!$F$2:$F$1001,'MyBudget'!$B$2:$B$1001,H47,'MyBudget'!$E$2:$E$1001,$I$8,'MyBudget'!$D$2:$D$1001,IF($C$9="All Months","*",$C$9)))</x:f>
        <x:v>0</x:v>
      </x:c>
      <x:c r="J47" s="33" t="n">
        <x:f>IF(H47="",0,SUMIFS('MyExpenses'!$F$2:$F$1001,'MyExpenses'!$E$2:$E$1001,H47,'MyExpenses'!$A$2:$A$1001,"&gt;="&amp;DATE($I$8,IF($C$9="All Months",1,MATCH($C$9,$A$39:$A$50,0)),1),'MyExpenses'!$A$2:$A$1001,"&lt;"&amp;DATE($I$8,IF($C$9="All Months",13,MATCH($C$9,$A$39:$A$50,0)+1),1)))</x:f>
        <x:v>0</x:v>
      </x:c>
      <x:c r="K47" s="33" t="n">
        <x:f>IF(H47="",0,SUMIFS('My Income'!$H$2:$H$1001,'My Income'!$B$2:$B$1001,H47,'My Income'!$D$2:$D$1001,$I$8,'My Income'!$C$2:$C$1001,IF($C$9="All Months","*",$C$9)))</x:f>
        <x:v>0</x:v>
      </x:c>
      <x:c r="L47" s="33" t="n">
        <x:f>MAX(0,J47-I47)</x:f>
        <x:v>0</x:v>
      </x:c>
      <x:c r="M47" t="str">
        <x:f>IF(H47="","",IF(L47&gt;0,"Over budget","Within budget"))</x:f>
      </x:c>
      <x:c r="O47" t="str">
        <x:f>IF($F$9="By Month",A47,H47)</x:f>
        <x:v>September</x:v>
      </x:c>
      <x:c r="P47" t="n">
        <x:f>IF($F$9="By Month",B47,I47)</x:f>
        <x:v>0</x:v>
      </x:c>
      <x:c r="Q47" t="n">
        <x:f>IF($F$9="By Month",C47,J47)</x:f>
        <x:v>0</x:v>
      </x:c>
      <x:c r="R47" t="n">
        <x:f>IF($F$9="By Month",D47,K47)</x:f>
        <x:v>0</x:v>
      </x:c>
      <x:c r="S47" t="n">
        <x:f>IF($F$9="By Month",E47,L47)</x:f>
        <x:v>0</x:v>
      </x:c>
    </x:row>
    <x:row r="48" ht="24" customHeight="1">
      <x:c r="A48" s="2" t="str">
        <x:v>October</x:v>
      </x:c>
      <x:c r="B48" s="33" t="n">
        <x:f>IF(OR($C$9="All Months",$C$9=A48),SUMIFS('MyBudget'!$F$2:$F$1001,'MyBudget'!$D$2:$D$1001,A48,'MyBudget'!$E$2:$E$1001,$I$8),0)</x:f>
        <x:v>0</x:v>
      </x:c>
      <x:c r="C48" s="33" t="n">
        <x:f>IF(OR($C$9="All Months",$C$9=A48),SUMIFS('MyExpenses'!$F$2:$F$1001,'MyExpenses'!$A$2:$A$1001,"&gt;="&amp;DATE($I$8,10,1),'MyExpenses'!$A$2:$A$1001,"&lt;"&amp;DATE($I$8,11,1)),0)</x:f>
        <x:v>0</x:v>
      </x:c>
      <x:c r="D48" s="33" t="n">
        <x:f>IF(OR($C$9="All Months",$C$9=A48),SUMIFS('My Income'!$H$2:$H$1001,'My Income'!$C$2:$C$1001,A48,'My Income'!$D$2:$D$1001,$I$8),0)</x:f>
        <x:v>0</x:v>
      </x:c>
      <x:c r="E48" s="33" t="n">
        <x:f>MAX(0,C48-B48)</x:f>
        <x:v>0</x:v>
      </x:c>
      <x:c r="F48" s="2" t="str">
        <x:f>IF(E48&gt;0,"Over budget","Within budget")</x:f>
        <x:v>Within budget</x:v>
      </x:c>
      <x:c r="G48" s="2"/>
      <x:c r="H48" s="7" t="str"/>
      <x:c r="I48" s="33" t="n">
        <x:f>IF(H48="",0,SUMIFS('MyBudget'!$F$2:$F$1001,'MyBudget'!$B$2:$B$1001,H48,'MyBudget'!$E$2:$E$1001,$I$8,'MyBudget'!$D$2:$D$1001,IF($C$9="All Months","*",$C$9)))</x:f>
        <x:v>0</x:v>
      </x:c>
      <x:c r="J48" s="33" t="n">
        <x:f>IF(H48="",0,SUMIFS('MyExpenses'!$F$2:$F$1001,'MyExpenses'!$E$2:$E$1001,H48,'MyExpenses'!$A$2:$A$1001,"&gt;="&amp;DATE($I$8,IF($C$9="All Months",1,MATCH($C$9,$A$39:$A$50,0)),1),'MyExpenses'!$A$2:$A$1001,"&lt;"&amp;DATE($I$8,IF($C$9="All Months",13,MATCH($C$9,$A$39:$A$50,0)+1),1)))</x:f>
        <x:v>0</x:v>
      </x:c>
      <x:c r="K48" s="33" t="n">
        <x:f>IF(H48="",0,SUMIFS('My Income'!$H$2:$H$1001,'My Income'!$B$2:$B$1001,H48,'My Income'!$D$2:$D$1001,$I$8,'My Income'!$C$2:$C$1001,IF($C$9="All Months","*",$C$9)))</x:f>
        <x:v>0</x:v>
      </x:c>
      <x:c r="L48" s="33" t="n">
        <x:f>MAX(0,J48-I48)</x:f>
        <x:v>0</x:v>
      </x:c>
      <x:c r="M48" t="str">
        <x:f>IF(H48="","",IF(L48&gt;0,"Over budget","Within budget"))</x:f>
      </x:c>
      <x:c r="O48" t="str">
        <x:f>IF($F$9="By Month",A48,H48)</x:f>
        <x:v>October</x:v>
      </x:c>
      <x:c r="P48" t="n">
        <x:f>IF($F$9="By Month",B48,I48)</x:f>
        <x:v>0</x:v>
      </x:c>
      <x:c r="Q48" t="n">
        <x:f>IF($F$9="By Month",C48,J48)</x:f>
        <x:v>0</x:v>
      </x:c>
      <x:c r="R48" t="n">
        <x:f>IF($F$9="By Month",D48,K48)</x:f>
        <x:v>0</x:v>
      </x:c>
      <x:c r="S48" t="n">
        <x:f>IF($F$9="By Month",E48,L48)</x:f>
        <x:v>0</x:v>
      </x:c>
    </x:row>
    <x:row r="49" ht="24" customHeight="1">
      <x:c r="A49" s="2" t="str">
        <x:v>November</x:v>
      </x:c>
      <x:c r="B49" s="33" t="n">
        <x:f>IF(OR($C$9="All Months",$C$9=A49),SUMIFS('MyBudget'!$F$2:$F$1001,'MyBudget'!$D$2:$D$1001,A49,'MyBudget'!$E$2:$E$1001,$I$8),0)</x:f>
        <x:v>0</x:v>
      </x:c>
      <x:c r="C49" s="33" t="n">
        <x:f>IF(OR($C$9="All Months",$C$9=A49),SUMIFS('MyExpenses'!$F$2:$F$1001,'MyExpenses'!$A$2:$A$1001,"&gt;="&amp;DATE($I$8,11,1),'MyExpenses'!$A$2:$A$1001,"&lt;"&amp;DATE($I$8,12,1)),0)</x:f>
        <x:v>0</x:v>
      </x:c>
      <x:c r="D49" s="33" t="n">
        <x:f>IF(OR($C$9="All Months",$C$9=A49),SUMIFS('My Income'!$H$2:$H$1001,'My Income'!$C$2:$C$1001,A49,'My Income'!$D$2:$D$1001,$I$8),0)</x:f>
        <x:v>0</x:v>
      </x:c>
      <x:c r="E49" s="33" t="n">
        <x:f>MAX(0,C49-B49)</x:f>
        <x:v>0</x:v>
      </x:c>
      <x:c r="F49" s="2" t="str">
        <x:f>IF(E49&gt;0,"Over budget","Within budget")</x:f>
        <x:v>Within budget</x:v>
      </x:c>
      <x:c r="G49" s="2"/>
      <x:c r="H49" s="7" t="str"/>
      <x:c r="I49" s="33" t="n">
        <x:f>IF(H49="",0,SUMIFS('MyBudget'!$F$2:$F$1001,'MyBudget'!$B$2:$B$1001,H49,'MyBudget'!$E$2:$E$1001,$I$8,'MyBudget'!$D$2:$D$1001,IF($C$9="All Months","*",$C$9)))</x:f>
        <x:v>0</x:v>
      </x:c>
      <x:c r="J49" s="33" t="n">
        <x:f>IF(H49="",0,SUMIFS('MyExpenses'!$F$2:$F$1001,'MyExpenses'!$E$2:$E$1001,H49,'MyExpenses'!$A$2:$A$1001,"&gt;="&amp;DATE($I$8,IF($C$9="All Months",1,MATCH($C$9,$A$39:$A$50,0)),1),'MyExpenses'!$A$2:$A$1001,"&lt;"&amp;DATE($I$8,IF($C$9="All Months",13,MATCH($C$9,$A$39:$A$50,0)+1),1)))</x:f>
        <x:v>0</x:v>
      </x:c>
      <x:c r="K49" s="33" t="n">
        <x:f>IF(H49="",0,SUMIFS('My Income'!$H$2:$H$1001,'My Income'!$B$2:$B$1001,H49,'My Income'!$D$2:$D$1001,$I$8,'My Income'!$C$2:$C$1001,IF($C$9="All Months","*",$C$9)))</x:f>
        <x:v>0</x:v>
      </x:c>
      <x:c r="L49" s="33" t="n">
        <x:f>MAX(0,J49-I49)</x:f>
        <x:v>0</x:v>
      </x:c>
      <x:c r="M49" t="str">
        <x:f>IF(H49="","",IF(L49&gt;0,"Over budget","Within budget"))</x:f>
      </x:c>
      <x:c r="O49" t="str">
        <x:f>IF($F$9="By Month",A49,H49)</x:f>
        <x:v>November</x:v>
      </x:c>
      <x:c r="P49" t="n">
        <x:f>IF($F$9="By Month",B49,I49)</x:f>
        <x:v>0</x:v>
      </x:c>
      <x:c r="Q49" t="n">
        <x:f>IF($F$9="By Month",C49,J49)</x:f>
        <x:v>0</x:v>
      </x:c>
      <x:c r="R49" t="n">
        <x:f>IF($F$9="By Month",D49,K49)</x:f>
        <x:v>0</x:v>
      </x:c>
      <x:c r="S49" t="n">
        <x:f>IF($F$9="By Month",E49,L49)</x:f>
        <x:v>0</x:v>
      </x:c>
    </x:row>
    <x:row r="50" ht="24" customHeight="1">
      <x:c r="A50" s="2" t="str">
        <x:v>December</x:v>
      </x:c>
      <x:c r="B50" s="33" t="n">
        <x:f>IF(OR($C$9="All Months",$C$9=A50),SUMIFS('MyBudget'!$F$2:$F$1001,'MyBudget'!$D$2:$D$1001,A50,'MyBudget'!$E$2:$E$1001,$I$8),0)</x:f>
        <x:v>0</x:v>
      </x:c>
      <x:c r="C50" s="33" t="n">
        <x:f>IF(OR($C$9="All Months",$C$9=A50),SUMIFS('MyExpenses'!$F$2:$F$1001,'MyExpenses'!$A$2:$A$1001,"&gt;="&amp;DATE($I$8,12,1),'MyExpenses'!$A$2:$A$1001,"&lt;"&amp;DATE($I$8,13,1)),0)</x:f>
        <x:v>0</x:v>
      </x:c>
      <x:c r="D50" s="33" t="n">
        <x:f>IF(OR($C$9="All Months",$C$9=A50),SUMIFS('My Income'!$H$2:$H$1001,'My Income'!$C$2:$C$1001,A50,'My Income'!$D$2:$D$1001,$I$8),0)</x:f>
        <x:v>0</x:v>
      </x:c>
      <x:c r="E50" s="33" t="n">
        <x:f>MAX(0,C50-B50)</x:f>
        <x:v>0</x:v>
      </x:c>
      <x:c r="F50" s="2" t="str">
        <x:f>IF(E50&gt;0,"Over budget","Within budget")</x:f>
        <x:v>Within budget</x:v>
      </x:c>
      <x:c r="G50" s="2"/>
      <x:c r="H50" s="7" t="str"/>
      <x:c r="I50" s="33" t="n">
        <x:f>IF(H50="",0,SUMIFS('MyBudget'!$F$2:$F$1001,'MyBudget'!$B$2:$B$1001,H50,'MyBudget'!$E$2:$E$1001,$I$8,'MyBudget'!$D$2:$D$1001,IF($C$9="All Months","*",$C$9)))</x:f>
        <x:v>0</x:v>
      </x:c>
      <x:c r="J50" s="33" t="n">
        <x:f>IF(H50="",0,SUMIFS('MyExpenses'!$F$2:$F$1001,'MyExpenses'!$E$2:$E$1001,H50,'MyExpenses'!$A$2:$A$1001,"&gt;="&amp;DATE($I$8,IF($C$9="All Months",1,MATCH($C$9,$A$39:$A$50,0)),1),'MyExpenses'!$A$2:$A$1001,"&lt;"&amp;DATE($I$8,IF($C$9="All Months",13,MATCH($C$9,$A$39:$A$50,0)+1),1)))</x:f>
        <x:v>0</x:v>
      </x:c>
      <x:c r="K50" s="33" t="n">
        <x:f>IF(H50="",0,SUMIFS('My Income'!$H$2:$H$1001,'My Income'!$B$2:$B$1001,H50,'My Income'!$D$2:$D$1001,$I$8,'My Income'!$C$2:$C$1001,IF($C$9="All Months","*",$C$9)))</x:f>
        <x:v>0</x:v>
      </x:c>
      <x:c r="L50" s="33" t="n">
        <x:f>MAX(0,J50-I50)</x:f>
        <x:v>0</x:v>
      </x:c>
      <x:c r="M50" t="str">
        <x:f>IF(H50="","",IF(L50&gt;0,"Over budget","Within budget"))</x:f>
      </x:c>
      <x:c r="O50" t="str">
        <x:f>IF($F$9="By Month",A50,H50)</x:f>
        <x:v>December</x:v>
      </x:c>
      <x:c r="P50" t="n">
        <x:f>IF($F$9="By Month",B50,I50)</x:f>
        <x:v>0</x:v>
      </x:c>
      <x:c r="Q50" t="n">
        <x:f>IF($F$9="By Month",C50,J50)</x:f>
        <x:v>0</x:v>
      </x:c>
      <x:c r="R50" t="n">
        <x:f>IF($F$9="By Month",D50,K50)</x:f>
        <x:v>0</x:v>
      </x:c>
      <x:c r="S50" t="n">
        <x:f>IF($F$9="By Month",E50,L50)</x:f>
        <x:v>0</x:v>
      </x:c>
    </x:row>
    <x:row r="51" ht="24" customHeight="1">
      <x:c r="A51" s="2"/>
      <x:c r="B51" s="2"/>
      <x:c r="C51" s="2"/>
      <x:c r="D51" s="2"/>
      <x:c r="E51" s="2"/>
      <x:c r="F51" s="2"/>
      <x:c r="G51" s="2"/>
      <x:c r="H51" s="7" t="str"/>
      <x:c r="I51" s="33" t="n">
        <x:f>IF(H51="",0,SUMIFS('MyBudget'!$F$2:$F$1001,'MyBudget'!$B$2:$B$1001,H51,'MyBudget'!$E$2:$E$1001,$I$8,'MyBudget'!$D$2:$D$1001,IF($C$9="All Months","*",$C$9)))</x:f>
        <x:v>0</x:v>
      </x:c>
      <x:c r="J51" s="33" t="n">
        <x:f>IF(H51="",0,SUMIFS('MyExpenses'!$F$2:$F$1001,'MyExpenses'!$E$2:$E$1001,H51,'MyExpenses'!$A$2:$A$1001,"&gt;="&amp;DATE($I$8,IF($C$9="All Months",1,MATCH($C$9,$A$39:$A$50,0)),1),'MyExpenses'!$A$2:$A$1001,"&lt;"&amp;DATE($I$8,IF($C$9="All Months",13,MATCH($C$9,$A$39:$A$50,0)+1),1)))</x:f>
        <x:v>0</x:v>
      </x:c>
      <x:c r="K51" s="33" t="n">
        <x:f>IF(H51="",0,SUMIFS('My Income'!$H$2:$H$1001,'My Income'!$B$2:$B$1001,H51,'My Income'!$D$2:$D$1001,$I$8,'My Income'!$C$2:$C$1001,IF($C$9="All Months","*",$C$9)))</x:f>
        <x:v>0</x:v>
      </x:c>
      <x:c r="L51" s="33" t="n">
        <x:f>MAX(0,J51-I51)</x:f>
        <x:v>0</x:v>
      </x:c>
      <x:c r="M51" t="str">
        <x:f>IF(H51="","",IF(L51&gt;0,"Over budget","Within budget"))</x:f>
      </x:c>
      <x:c r="O51" t="str">
        <x:f>IF($F$9="By Month","",H51)</x:f>
      </x:c>
      <x:c r="P51" t="n">
        <x:f>IF($F$9="By Month",0,I51)</x:f>
        <x:v>0</x:v>
      </x:c>
      <x:c r="Q51" t="n">
        <x:f>IF($F$9="By Month",0,J51)</x:f>
        <x:v>0</x:v>
      </x:c>
      <x:c r="R51" t="n">
        <x:f>IF($F$9="By Month",0,K51)</x:f>
        <x:v>0</x:v>
      </x:c>
      <x:c r="S51" t="n">
        <x:f>IF($F$9="By Month",0,L51)</x:f>
        <x:v>0</x:v>
      </x:c>
    </x:row>
    <x:row r="52" ht="24" customHeight="1">
      <x:c r="A52" s="2"/>
      <x:c r="B52" s="2"/>
      <x:c r="C52" s="2"/>
      <x:c r="D52" s="2"/>
      <x:c r="E52" s="2"/>
      <x:c r="F52" s="2"/>
      <x:c r="G52" s="2"/>
      <x:c r="H52" s="7" t="str"/>
      <x:c r="I52" s="33" t="n">
        <x:f>IF(H52="",0,SUMIFS('MyBudget'!$F$2:$F$1001,'MyBudget'!$B$2:$B$1001,H52,'MyBudget'!$E$2:$E$1001,$I$8,'MyBudget'!$D$2:$D$1001,IF($C$9="All Months","*",$C$9)))</x:f>
        <x:v>0</x:v>
      </x:c>
      <x:c r="J52" s="33" t="n">
        <x:f>IF(H52="",0,SUMIFS('MyExpenses'!$F$2:$F$1001,'MyExpenses'!$E$2:$E$1001,H52,'MyExpenses'!$A$2:$A$1001,"&gt;="&amp;DATE($I$8,IF($C$9="All Months",1,MATCH($C$9,$A$39:$A$50,0)),1),'MyExpenses'!$A$2:$A$1001,"&lt;"&amp;DATE($I$8,IF($C$9="All Months",13,MATCH($C$9,$A$39:$A$50,0)+1),1)))</x:f>
        <x:v>0</x:v>
      </x:c>
      <x:c r="K52" s="33" t="n">
        <x:f>IF(H52="",0,SUMIFS('My Income'!$H$2:$H$1001,'My Income'!$B$2:$B$1001,H52,'My Income'!$D$2:$D$1001,$I$8,'My Income'!$C$2:$C$1001,IF($C$9="All Months","*",$C$9)))</x:f>
        <x:v>0</x:v>
      </x:c>
      <x:c r="L52" s="33" t="n">
        <x:f>MAX(0,J52-I52)</x:f>
        <x:v>0</x:v>
      </x:c>
      <x:c r="M52" t="str">
        <x:f>IF(H52="","",IF(L52&gt;0,"Over budget","Within budget"))</x:f>
      </x:c>
      <x:c r="O52" t="str">
        <x:f>IF($F$9="By Month","",H52)</x:f>
      </x:c>
      <x:c r="P52" t="n">
        <x:f>IF($F$9="By Month",0,I52)</x:f>
        <x:v>0</x:v>
      </x:c>
      <x:c r="Q52" t="n">
        <x:f>IF($F$9="By Month",0,J52)</x:f>
        <x:v>0</x:v>
      </x:c>
      <x:c r="R52" t="n">
        <x:f>IF($F$9="By Month",0,K52)</x:f>
        <x:v>0</x:v>
      </x:c>
      <x:c r="S52" t="n">
        <x:f>IF($F$9="By Month",0,L52)</x:f>
        <x:v>0</x:v>
      </x:c>
    </x:row>
    <x:row r="53" ht="24" customHeight="1">
      <x:c r="A53" s="2"/>
      <x:c r="B53" s="2"/>
      <x:c r="C53" s="2"/>
      <x:c r="D53" s="2"/>
      <x:c r="E53" s="2"/>
      <x:c r="F53" s="2"/>
      <x:c r="G53" s="2"/>
      <x:c r="H53" s="7" t="str"/>
      <x:c r="I53" s="33" t="n">
        <x:f>IF(H53="",0,SUMIFS('MyBudget'!$F$2:$F$1001,'MyBudget'!$B$2:$B$1001,H53,'MyBudget'!$E$2:$E$1001,$I$8,'MyBudget'!$D$2:$D$1001,IF($C$9="All Months","*",$C$9)))</x:f>
        <x:v>0</x:v>
      </x:c>
      <x:c r="J53" s="33" t="n">
        <x:f>IF(H53="",0,SUMIFS('MyExpenses'!$F$2:$F$1001,'MyExpenses'!$E$2:$E$1001,H53,'MyExpenses'!$A$2:$A$1001,"&gt;="&amp;DATE($I$8,IF($C$9="All Months",1,MATCH($C$9,$A$39:$A$50,0)),1),'MyExpenses'!$A$2:$A$1001,"&lt;"&amp;DATE($I$8,IF($C$9="All Months",13,MATCH($C$9,$A$39:$A$50,0)+1),1)))</x:f>
        <x:v>0</x:v>
      </x:c>
      <x:c r="K53" s="33" t="n">
        <x:f>IF(H53="",0,SUMIFS('My Income'!$H$2:$H$1001,'My Income'!$B$2:$B$1001,H53,'My Income'!$D$2:$D$1001,$I$8,'My Income'!$C$2:$C$1001,IF($C$9="All Months","*",$C$9)))</x:f>
        <x:v>0</x:v>
      </x:c>
      <x:c r="L53" s="33" t="n">
        <x:f>MAX(0,J53-I53)</x:f>
        <x:v>0</x:v>
      </x:c>
      <x:c r="M53" t="str">
        <x:f>IF(H53="","",IF(L53&gt;0,"Over budget","Within budget"))</x:f>
      </x:c>
      <x:c r="O53" t="str">
        <x:f>IF($F$9="By Month","",H53)</x:f>
      </x:c>
      <x:c r="P53" t="n">
        <x:f>IF($F$9="By Month",0,I53)</x:f>
        <x:v>0</x:v>
      </x:c>
      <x:c r="Q53" t="n">
        <x:f>IF($F$9="By Month",0,J53)</x:f>
        <x:v>0</x:v>
      </x:c>
      <x:c r="R53" t="n">
        <x:f>IF($F$9="By Month",0,K53)</x:f>
        <x:v>0</x:v>
      </x:c>
      <x:c r="S53" t="n">
        <x:f>IF($F$9="By Month",0,L53)</x:f>
        <x:v>0</x:v>
      </x:c>
    </x:row>
    <x:row r="54" ht="24" customHeight="1">
      <x:c r="A54" s="2"/>
      <x:c r="B54" s="2"/>
      <x:c r="C54" s="2"/>
      <x:c r="D54" s="2"/>
      <x:c r="E54" s="2"/>
      <x:c r="F54" s="2"/>
      <x:c r="G54" s="2"/>
      <x:c r="H54" s="7" t="str"/>
      <x:c r="I54" s="33" t="n">
        <x:f>IF(H54="",0,SUMIFS('MyBudget'!$F$2:$F$1001,'MyBudget'!$B$2:$B$1001,H54,'MyBudget'!$E$2:$E$1001,$I$8,'MyBudget'!$D$2:$D$1001,IF($C$9="All Months","*",$C$9)))</x:f>
        <x:v>0</x:v>
      </x:c>
      <x:c r="J54" s="33" t="n">
        <x:f>IF(H54="",0,SUMIFS('MyExpenses'!$F$2:$F$1001,'MyExpenses'!$E$2:$E$1001,H54,'MyExpenses'!$A$2:$A$1001,"&gt;="&amp;DATE($I$8,IF($C$9="All Months",1,MATCH($C$9,$A$39:$A$50,0)),1),'MyExpenses'!$A$2:$A$1001,"&lt;"&amp;DATE($I$8,IF($C$9="All Months",13,MATCH($C$9,$A$39:$A$50,0)+1),1)))</x:f>
        <x:v>0</x:v>
      </x:c>
      <x:c r="K54" s="33" t="n">
        <x:f>IF(H54="",0,SUMIFS('My Income'!$H$2:$H$1001,'My Income'!$B$2:$B$1001,H54,'My Income'!$D$2:$D$1001,$I$8,'My Income'!$C$2:$C$1001,IF($C$9="All Months","*",$C$9)))</x:f>
        <x:v>0</x:v>
      </x:c>
      <x:c r="L54" s="33" t="n">
        <x:f>MAX(0,J54-I54)</x:f>
        <x:v>0</x:v>
      </x:c>
      <x:c r="M54" t="str">
        <x:f>IF(H54="","",IF(L54&gt;0,"Over budget","Within budget"))</x:f>
      </x:c>
      <x:c r="O54" t="str">
        <x:f>IF($F$9="By Month","",H54)</x:f>
      </x:c>
      <x:c r="P54" t="n">
        <x:f>IF($F$9="By Month",0,I54)</x:f>
        <x:v>0</x:v>
      </x:c>
      <x:c r="Q54" t="n">
        <x:f>IF($F$9="By Month",0,J54)</x:f>
        <x:v>0</x:v>
      </x:c>
      <x:c r="R54" t="n">
        <x:f>IF($F$9="By Month",0,K54)</x:f>
        <x:v>0</x:v>
      </x:c>
      <x:c r="S54" t="n">
        <x:f>IF($F$9="By Month",0,L54)</x:f>
        <x:v>0</x:v>
      </x:c>
    </x:row>
    <x:row r="55" ht="24" customHeight="1">
      <x:c r="A55" s="2"/>
      <x:c r="B55" s="2"/>
      <x:c r="C55" s="2"/>
      <x:c r="D55" s="2"/>
      <x:c r="E55" s="2"/>
      <x:c r="F55" s="2"/>
      <x:c r="G55" s="2"/>
      <x:c r="H55" s="7" t="str"/>
      <x:c r="I55" s="33" t="n">
        <x:f>IF(H55="",0,SUMIFS('MyBudget'!$F$2:$F$1001,'MyBudget'!$B$2:$B$1001,H55,'MyBudget'!$E$2:$E$1001,$I$8,'MyBudget'!$D$2:$D$1001,IF($C$9="All Months","*",$C$9)))</x:f>
        <x:v>0</x:v>
      </x:c>
      <x:c r="J55" s="33" t="n">
        <x:f>IF(H55="",0,SUMIFS('MyExpenses'!$F$2:$F$1001,'MyExpenses'!$E$2:$E$1001,H55,'MyExpenses'!$A$2:$A$1001,"&gt;="&amp;DATE($I$8,IF($C$9="All Months",1,MATCH($C$9,$A$39:$A$50,0)),1),'MyExpenses'!$A$2:$A$1001,"&lt;"&amp;DATE($I$8,IF($C$9="All Months",13,MATCH($C$9,$A$39:$A$50,0)+1),1)))</x:f>
        <x:v>0</x:v>
      </x:c>
      <x:c r="K55" s="33" t="n">
        <x:f>IF(H55="",0,SUMIFS('My Income'!$H$2:$H$1001,'My Income'!$B$2:$B$1001,H55,'My Income'!$D$2:$D$1001,$I$8,'My Income'!$C$2:$C$1001,IF($C$9="All Months","*",$C$9)))</x:f>
        <x:v>0</x:v>
      </x:c>
      <x:c r="L55" s="33" t="n">
        <x:f>MAX(0,J55-I55)</x:f>
        <x:v>0</x:v>
      </x:c>
      <x:c r="M55" t="str">
        <x:f>IF(H55="","",IF(L55&gt;0,"Over budget","Within budget"))</x:f>
      </x:c>
      <x:c r="O55" t="str">
        <x:f>IF($F$9="By Month","",H55)</x:f>
      </x:c>
      <x:c r="P55" t="n">
        <x:f>IF($F$9="By Month",0,I55)</x:f>
        <x:v>0</x:v>
      </x:c>
      <x:c r="Q55" t="n">
        <x:f>IF($F$9="By Month",0,J55)</x:f>
        <x:v>0</x:v>
      </x:c>
      <x:c r="R55" t="n">
        <x:f>IF($F$9="By Month",0,K55)</x:f>
        <x:v>0</x:v>
      </x:c>
      <x:c r="S55" t="n">
        <x:f>IF($F$9="By Month",0,L55)</x:f>
        <x:v>0</x:v>
      </x:c>
    </x:row>
    <x:row r="56" ht="24" customHeight="1">
      <x:c r="A56" s="2"/>
      <x:c r="B56" s="2"/>
      <x:c r="C56" s="2"/>
      <x:c r="D56" s="2"/>
      <x:c r="E56" s="2"/>
      <x:c r="F56" s="2"/>
      <x:c r="G56" s="2"/>
      <x:c r="H56" s="7" t="str"/>
      <x:c r="I56" s="33" t="n">
        <x:f>IF(H56="",0,SUMIFS('MyBudget'!$F$2:$F$1001,'MyBudget'!$B$2:$B$1001,H56,'MyBudget'!$E$2:$E$1001,$I$8,'MyBudget'!$D$2:$D$1001,IF($C$9="All Months","*",$C$9)))</x:f>
        <x:v>0</x:v>
      </x:c>
      <x:c r="J56" s="33" t="n">
        <x:f>IF(H56="",0,SUMIFS('MyExpenses'!$F$2:$F$1001,'MyExpenses'!$E$2:$E$1001,H56,'MyExpenses'!$A$2:$A$1001,"&gt;="&amp;DATE($I$8,IF($C$9="All Months",1,MATCH($C$9,$A$39:$A$50,0)),1),'MyExpenses'!$A$2:$A$1001,"&lt;"&amp;DATE($I$8,IF($C$9="All Months",13,MATCH($C$9,$A$39:$A$50,0)+1),1)))</x:f>
        <x:v>0</x:v>
      </x:c>
      <x:c r="K56" s="33" t="n">
        <x:f>IF(H56="",0,SUMIFS('My Income'!$H$2:$H$1001,'My Income'!$B$2:$B$1001,H56,'My Income'!$D$2:$D$1001,$I$8,'My Income'!$C$2:$C$1001,IF($C$9="All Months","*",$C$9)))</x:f>
        <x:v>0</x:v>
      </x:c>
      <x:c r="L56" s="33" t="n">
        <x:f>MAX(0,J56-I56)</x:f>
        <x:v>0</x:v>
      </x:c>
      <x:c r="M56" t="str">
        <x:f>IF(H56="","",IF(L56&gt;0,"Over budget","Within budget"))</x:f>
      </x:c>
      <x:c r="O56" t="str">
        <x:f>IF($F$9="By Month","",H56)</x:f>
      </x:c>
      <x:c r="P56" t="n">
        <x:f>IF($F$9="By Month",0,I56)</x:f>
        <x:v>0</x:v>
      </x:c>
      <x:c r="Q56" t="n">
        <x:f>IF($F$9="By Month",0,J56)</x:f>
        <x:v>0</x:v>
      </x:c>
      <x:c r="R56" t="n">
        <x:f>IF($F$9="By Month",0,K56)</x:f>
        <x:v>0</x:v>
      </x:c>
      <x:c r="S56" t="n">
        <x:f>IF($F$9="By Month",0,L56)</x:f>
        <x:v>0</x:v>
      </x:c>
    </x:row>
    <x:row r="57" ht="24" customHeight="1">
      <x:c r="A57" s="2"/>
      <x:c r="B57" s="2"/>
      <x:c r="C57" s="2"/>
      <x:c r="D57" s="2"/>
      <x:c r="E57" s="2"/>
      <x:c r="F57" s="2"/>
      <x:c r="G57" s="2"/>
      <x:c r="H57" s="7" t="str"/>
      <x:c r="I57" s="33" t="n">
        <x:f>IF(H57="",0,SUMIFS('MyBudget'!$F$2:$F$1001,'MyBudget'!$B$2:$B$1001,H57,'MyBudget'!$E$2:$E$1001,$I$8,'MyBudget'!$D$2:$D$1001,IF($C$9="All Months","*",$C$9)))</x:f>
        <x:v>0</x:v>
      </x:c>
      <x:c r="J57" s="33" t="n">
        <x:f>IF(H57="",0,SUMIFS('MyExpenses'!$F$2:$F$1001,'MyExpenses'!$E$2:$E$1001,H57,'MyExpenses'!$A$2:$A$1001,"&gt;="&amp;DATE($I$8,IF($C$9="All Months",1,MATCH($C$9,$A$39:$A$50,0)),1),'MyExpenses'!$A$2:$A$1001,"&lt;"&amp;DATE($I$8,IF($C$9="All Months",13,MATCH($C$9,$A$39:$A$50,0)+1),1)))</x:f>
        <x:v>0</x:v>
      </x:c>
      <x:c r="K57" s="33" t="n">
        <x:f>IF(H57="",0,SUMIFS('My Income'!$H$2:$H$1001,'My Income'!$B$2:$B$1001,H57,'My Income'!$D$2:$D$1001,$I$8,'My Income'!$C$2:$C$1001,IF($C$9="All Months","*",$C$9)))</x:f>
        <x:v>0</x:v>
      </x:c>
      <x:c r="L57" s="33" t="n">
        <x:f>MAX(0,J57-I57)</x:f>
        <x:v>0</x:v>
      </x:c>
      <x:c r="M57" t="str">
        <x:f>IF(H57="","",IF(L57&gt;0,"Over budget","Within budget"))</x:f>
      </x:c>
      <x:c r="O57" t="str">
        <x:f>IF($F$9="By Month","",H57)</x:f>
      </x:c>
      <x:c r="P57" t="n">
        <x:f>IF($F$9="By Month",0,I57)</x:f>
        <x:v>0</x:v>
      </x:c>
      <x:c r="Q57" t="n">
        <x:f>IF($F$9="By Month",0,J57)</x:f>
        <x:v>0</x:v>
      </x:c>
      <x:c r="R57" t="n">
        <x:f>IF($F$9="By Month",0,K57)</x:f>
        <x:v>0</x:v>
      </x:c>
      <x:c r="S57" t="n">
        <x:f>IF($F$9="By Month",0,L57)</x:f>
        <x:v>0</x:v>
      </x:c>
    </x:row>
    <x:row r="58" ht="24" customHeight="1">
      <x:c r="A58" s="2"/>
      <x:c r="B58" s="2"/>
      <x:c r="C58" s="2"/>
      <x:c r="D58" s="2"/>
      <x:c r="E58" s="2"/>
      <x:c r="F58" s="2"/>
      <x:c r="G58" s="2"/>
      <x:c r="H58" s="7" t="str"/>
      <x:c r="I58" s="33" t="n">
        <x:f>IF(H58="",0,SUMIFS('MyBudget'!$F$2:$F$1001,'MyBudget'!$B$2:$B$1001,H58,'MyBudget'!$E$2:$E$1001,$I$8,'MyBudget'!$D$2:$D$1001,IF($C$9="All Months","*",$C$9)))</x:f>
        <x:v>0</x:v>
      </x:c>
      <x:c r="J58" s="33" t="n">
        <x:f>IF(H58="",0,SUMIFS('MyExpenses'!$F$2:$F$1001,'MyExpenses'!$E$2:$E$1001,H58,'MyExpenses'!$A$2:$A$1001,"&gt;="&amp;DATE($I$8,IF($C$9="All Months",1,MATCH($C$9,$A$39:$A$50,0)),1),'MyExpenses'!$A$2:$A$1001,"&lt;"&amp;DATE($I$8,IF($C$9="All Months",13,MATCH($C$9,$A$39:$A$50,0)+1),1)))</x:f>
        <x:v>0</x:v>
      </x:c>
      <x:c r="K58" s="33" t="n">
        <x:f>IF(H58="",0,SUMIFS('My Income'!$H$2:$H$1001,'My Income'!$B$2:$B$1001,H58,'My Income'!$D$2:$D$1001,$I$8,'My Income'!$C$2:$C$1001,IF($C$9="All Months","*",$C$9)))</x:f>
        <x:v>0</x:v>
      </x:c>
      <x:c r="L58" s="33" t="n">
        <x:f>MAX(0,J58-I58)</x:f>
        <x:v>0</x:v>
      </x:c>
      <x:c r="M58" t="str">
        <x:f>IF(H58="","",IF(L58&gt;0,"Over budget","Within budget"))</x:f>
      </x:c>
      <x:c r="O58" t="str">
        <x:f>IF($F$9="By Month","",H58)</x:f>
      </x:c>
      <x:c r="P58" t="n">
        <x:f>IF($F$9="By Month",0,I58)</x:f>
        <x:v>0</x:v>
      </x:c>
      <x:c r="Q58" t="n">
        <x:f>IF($F$9="By Month",0,J58)</x:f>
        <x:v>0</x:v>
      </x:c>
      <x:c r="R58" t="n">
        <x:f>IF($F$9="By Month",0,K58)</x:f>
        <x:v>0</x:v>
      </x:c>
      <x:c r="S58" t="n">
        <x:f>IF($F$9="By Month",0,L58)</x:f>
        <x:v>0</x:v>
      </x:c>
    </x:row>
    <x:row r="59" ht="24" customHeight="1">
      <x:c r="A59" s="2"/>
      <x:c r="B59" s="2"/>
      <x:c r="C59" s="2"/>
      <x:c r="D59" s="2"/>
      <x:c r="E59" s="2"/>
      <x:c r="F59" s="2"/>
      <x:c r="G59" s="2"/>
      <x:c r="H59" s="7" t="str"/>
      <x:c r="I59" s="33" t="n">
        <x:f>IF(H59="",0,SUMIFS('MyBudget'!$F$2:$F$1001,'MyBudget'!$B$2:$B$1001,H59,'MyBudget'!$E$2:$E$1001,$I$8,'MyBudget'!$D$2:$D$1001,IF($C$9="All Months","*",$C$9)))</x:f>
        <x:v>0</x:v>
      </x:c>
      <x:c r="J59" s="33" t="n">
        <x:f>IF(H59="",0,SUMIFS('MyExpenses'!$F$2:$F$1001,'MyExpenses'!$E$2:$E$1001,H59,'MyExpenses'!$A$2:$A$1001,"&gt;="&amp;DATE($I$8,IF($C$9="All Months",1,MATCH($C$9,$A$39:$A$50,0)),1),'MyExpenses'!$A$2:$A$1001,"&lt;"&amp;DATE($I$8,IF($C$9="All Months",13,MATCH($C$9,$A$39:$A$50,0)+1),1)))</x:f>
        <x:v>0</x:v>
      </x:c>
      <x:c r="K59" s="33" t="n">
        <x:f>IF(H59="",0,SUMIFS('My Income'!$H$2:$H$1001,'My Income'!$B$2:$B$1001,H59,'My Income'!$D$2:$D$1001,$I$8,'My Income'!$C$2:$C$1001,IF($C$9="All Months","*",$C$9)))</x:f>
        <x:v>0</x:v>
      </x:c>
      <x:c r="L59" s="33" t="n">
        <x:f>MAX(0,J59-I59)</x:f>
        <x:v>0</x:v>
      </x:c>
      <x:c r="M59" t="str">
        <x:f>IF(H59="","",IF(L59&gt;0,"Over budget","Within budget"))</x:f>
      </x:c>
      <x:c r="O59" t="str">
        <x:f>IF($F$9="By Month","",H59)</x:f>
      </x:c>
      <x:c r="P59" t="n">
        <x:f>IF($F$9="By Month",0,I59)</x:f>
        <x:v>0</x:v>
      </x:c>
      <x:c r="Q59" t="n">
        <x:f>IF($F$9="By Month",0,J59)</x:f>
        <x:v>0</x:v>
      </x:c>
      <x:c r="R59" t="n">
        <x:f>IF($F$9="By Month",0,K59)</x:f>
        <x:v>0</x:v>
      </x:c>
      <x:c r="S59" t="n">
        <x:f>IF($F$9="By Month",0,L59)</x:f>
        <x:v>0</x:v>
      </x:c>
    </x:row>
    <x:row r="60" ht="24" customHeight="1">
      <x:c r="A60" s="2"/>
      <x:c r="B60" s="2"/>
      <x:c r="C60" s="2"/>
      <x:c r="D60" s="2"/>
      <x:c r="E60" s="2"/>
      <x:c r="F60" s="2"/>
      <x:c r="G60" s="2"/>
      <x:c r="H60" s="7" t="str"/>
      <x:c r="I60" s="33" t="n">
        <x:f>IF(H60="",0,SUMIFS('MyBudget'!$F$2:$F$1001,'MyBudget'!$B$2:$B$1001,H60,'MyBudget'!$E$2:$E$1001,$I$8,'MyBudget'!$D$2:$D$1001,IF($C$9="All Months","*",$C$9)))</x:f>
        <x:v>0</x:v>
      </x:c>
      <x:c r="J60" s="33" t="n">
        <x:f>IF(H60="",0,SUMIFS('MyExpenses'!$F$2:$F$1001,'MyExpenses'!$E$2:$E$1001,H60,'MyExpenses'!$A$2:$A$1001,"&gt;="&amp;DATE($I$8,IF($C$9="All Months",1,MATCH($C$9,$A$39:$A$50,0)),1),'MyExpenses'!$A$2:$A$1001,"&lt;"&amp;DATE($I$8,IF($C$9="All Months",13,MATCH($C$9,$A$39:$A$50,0)+1),1)))</x:f>
        <x:v>0</x:v>
      </x:c>
      <x:c r="K60" s="33" t="n">
        <x:f>IF(H60="",0,SUMIFS('My Income'!$H$2:$H$1001,'My Income'!$B$2:$B$1001,H60,'My Income'!$D$2:$D$1001,$I$8,'My Income'!$C$2:$C$1001,IF($C$9="All Months","*",$C$9)))</x:f>
        <x:v>0</x:v>
      </x:c>
      <x:c r="L60" s="33" t="n">
        <x:f>MAX(0,J60-I60)</x:f>
        <x:v>0</x:v>
      </x:c>
      <x:c r="M60" t="str">
        <x:f>IF(H60="","",IF(L60&gt;0,"Over budget","Within budget"))</x:f>
      </x:c>
      <x:c r="O60" t="str">
        <x:f>IF($F$9="By Month","",H60)</x:f>
      </x:c>
      <x:c r="P60" t="n">
        <x:f>IF($F$9="By Month",0,I60)</x:f>
        <x:v>0</x:v>
      </x:c>
      <x:c r="Q60" t="n">
        <x:f>IF($F$9="By Month",0,J60)</x:f>
        <x:v>0</x:v>
      </x:c>
      <x:c r="R60" t="n">
        <x:f>IF($F$9="By Month",0,K60)</x:f>
        <x:v>0</x:v>
      </x:c>
      <x:c r="S60" t="n">
        <x:f>IF($F$9="By Month",0,L60)</x:f>
        <x:v>0</x:v>
      </x:c>
    </x:row>
    <x:row r="61" ht="24" customHeight="1">
      <x:c r="A61" s="2"/>
      <x:c r="B61" s="2"/>
      <x:c r="C61" s="2"/>
      <x:c r="D61" s="2"/>
      <x:c r="E61" s="2"/>
      <x:c r="F61" s="2"/>
      <x:c r="G61" s="2"/>
      <x:c r="H61" s="7" t="str"/>
      <x:c r="I61" s="33" t="n">
        <x:f>IF(H61="",0,SUMIFS('MyBudget'!$F$2:$F$1001,'MyBudget'!$B$2:$B$1001,H61,'MyBudget'!$E$2:$E$1001,$I$8,'MyBudget'!$D$2:$D$1001,IF($C$9="All Months","*",$C$9)))</x:f>
        <x:v>0</x:v>
      </x:c>
      <x:c r="J61" s="33" t="n">
        <x:f>IF(H61="",0,SUMIFS('MyExpenses'!$F$2:$F$1001,'MyExpenses'!$E$2:$E$1001,H61,'MyExpenses'!$A$2:$A$1001,"&gt;="&amp;DATE($I$8,IF($C$9="All Months",1,MATCH($C$9,$A$39:$A$50,0)),1),'MyExpenses'!$A$2:$A$1001,"&lt;"&amp;DATE($I$8,IF($C$9="All Months",13,MATCH($C$9,$A$39:$A$50,0)+1),1)))</x:f>
        <x:v>0</x:v>
      </x:c>
      <x:c r="K61" s="33" t="n">
        <x:f>IF(H61="",0,SUMIFS('My Income'!$H$2:$H$1001,'My Income'!$B$2:$B$1001,H61,'My Income'!$D$2:$D$1001,$I$8,'My Income'!$C$2:$C$1001,IF($C$9="All Months","*",$C$9)))</x:f>
        <x:v>0</x:v>
      </x:c>
      <x:c r="L61" s="33" t="n">
        <x:f>MAX(0,J61-I61)</x:f>
        <x:v>0</x:v>
      </x:c>
      <x:c r="M61" t="str">
        <x:f>IF(H61="","",IF(L61&gt;0,"Over budget","Within budget"))</x:f>
      </x:c>
      <x:c r="O61" t="str">
        <x:f>IF($F$9="By Month","",H61)</x:f>
      </x:c>
      <x:c r="P61" t="n">
        <x:f>IF($F$9="By Month",0,I61)</x:f>
        <x:v>0</x:v>
      </x:c>
      <x:c r="Q61" t="n">
        <x:f>IF($F$9="By Month",0,J61)</x:f>
        <x:v>0</x:v>
      </x:c>
      <x:c r="R61" t="n">
        <x:f>IF($F$9="By Month",0,K61)</x:f>
        <x:v>0</x:v>
      </x:c>
      <x:c r="S61" t="n">
        <x:f>IF($F$9="By Month",0,L61)</x:f>
        <x:v>0</x:v>
      </x:c>
    </x:row>
    <x:row r="62" ht="24" customHeight="1">
      <x:c r="A62" s="2"/>
      <x:c r="B62" s="2"/>
      <x:c r="C62" s="2"/>
      <x:c r="D62" s="2"/>
      <x:c r="E62" s="2"/>
      <x:c r="F62" s="2"/>
      <x:c r="G62" s="2"/>
      <x:c r="H62" s="7" t="str"/>
      <x:c r="I62" s="33" t="n">
        <x:f>IF(H62="",0,SUMIFS('MyBudget'!$F$2:$F$1001,'MyBudget'!$B$2:$B$1001,H62,'MyBudget'!$E$2:$E$1001,$I$8,'MyBudget'!$D$2:$D$1001,IF($C$9="All Months","*",$C$9)))</x:f>
        <x:v>0</x:v>
      </x:c>
      <x:c r="J62" s="33" t="n">
        <x:f>IF(H62="",0,SUMIFS('MyExpenses'!$F$2:$F$1001,'MyExpenses'!$E$2:$E$1001,H62,'MyExpenses'!$A$2:$A$1001,"&gt;="&amp;DATE($I$8,IF($C$9="All Months",1,MATCH($C$9,$A$39:$A$50,0)),1),'MyExpenses'!$A$2:$A$1001,"&lt;"&amp;DATE($I$8,IF($C$9="All Months",13,MATCH($C$9,$A$39:$A$50,0)+1),1)))</x:f>
        <x:v>0</x:v>
      </x:c>
      <x:c r="K62" s="33" t="n">
        <x:f>IF(H62="",0,SUMIFS('My Income'!$H$2:$H$1001,'My Income'!$B$2:$B$1001,H62,'My Income'!$D$2:$D$1001,$I$8,'My Income'!$C$2:$C$1001,IF($C$9="All Months","*",$C$9)))</x:f>
        <x:v>0</x:v>
      </x:c>
      <x:c r="L62" s="33" t="n">
        <x:f>MAX(0,J62-I62)</x:f>
        <x:v>0</x:v>
      </x:c>
      <x:c r="M62" t="str">
        <x:f>IF(H62="","",IF(L62&gt;0,"Over budget","Within budget"))</x:f>
      </x:c>
      <x:c r="O62" t="str">
        <x:f>IF($F$9="By Month","",H62)</x:f>
      </x:c>
      <x:c r="P62" t="n">
        <x:f>IF($F$9="By Month",0,I62)</x:f>
        <x:v>0</x:v>
      </x:c>
      <x:c r="Q62" t="n">
        <x:f>IF($F$9="By Month",0,J62)</x:f>
        <x:v>0</x:v>
      </x:c>
      <x:c r="R62" t="n">
        <x:f>IF($F$9="By Month",0,K62)</x:f>
        <x:v>0</x:v>
      </x:c>
      <x:c r="S62" t="n">
        <x:f>IF($F$9="By Month",0,L62)</x:f>
        <x:v>0</x:v>
      </x:c>
    </x:row>
    <x:row r="63" ht="24" customHeight="1">
      <x:c r="A63" s="2"/>
      <x:c r="B63" s="2"/>
      <x:c r="C63" s="2"/>
      <x:c r="D63" s="2"/>
      <x:c r="E63" s="2"/>
      <x:c r="F63" s="2"/>
      <x:c r="G63" s="2"/>
      <x:c r="H63" s="7" t="str"/>
      <x:c r="I63" s="33" t="n">
        <x:f>IF(H63="",0,SUMIFS('MyBudget'!$F$2:$F$1001,'MyBudget'!$B$2:$B$1001,H63,'MyBudget'!$E$2:$E$1001,$I$8,'MyBudget'!$D$2:$D$1001,IF($C$9="All Months","*",$C$9)))</x:f>
        <x:v>0</x:v>
      </x:c>
      <x:c r="J63" s="33" t="n">
        <x:f>IF(H63="",0,SUMIFS('MyExpenses'!$F$2:$F$1001,'MyExpenses'!$E$2:$E$1001,H63,'MyExpenses'!$A$2:$A$1001,"&gt;="&amp;DATE($I$8,IF($C$9="All Months",1,MATCH($C$9,$A$39:$A$50,0)),1),'MyExpenses'!$A$2:$A$1001,"&lt;"&amp;DATE($I$8,IF($C$9="All Months",13,MATCH($C$9,$A$39:$A$50,0)+1),1)))</x:f>
        <x:v>0</x:v>
      </x:c>
      <x:c r="K63" s="33" t="n">
        <x:f>IF(H63="",0,SUMIFS('My Income'!$H$2:$H$1001,'My Income'!$B$2:$B$1001,H63,'My Income'!$D$2:$D$1001,$I$8,'My Income'!$C$2:$C$1001,IF($C$9="All Months","*",$C$9)))</x:f>
        <x:v>0</x:v>
      </x:c>
      <x:c r="L63" s="33" t="n">
        <x:f>MAX(0,J63-I63)</x:f>
        <x:v>0</x:v>
      </x:c>
      <x:c r="M63" t="str">
        <x:f>IF(H63="","",IF(L63&gt;0,"Over budget","Within budget"))</x:f>
      </x:c>
      <x:c r="O63" t="str">
        <x:f>IF($F$9="By Month","",H63)</x:f>
      </x:c>
      <x:c r="P63" t="n">
        <x:f>IF($F$9="By Month",0,I63)</x:f>
        <x:v>0</x:v>
      </x:c>
      <x:c r="Q63" t="n">
        <x:f>IF($F$9="By Month",0,J63)</x:f>
        <x:v>0</x:v>
      </x:c>
      <x:c r="R63" t="n">
        <x:f>IF($F$9="By Month",0,K63)</x:f>
        <x:v>0</x:v>
      </x:c>
      <x:c r="S63" t="n">
        <x:f>IF($F$9="By Month",0,L63)</x:f>
        <x:v>0</x:v>
      </x:c>
    </x:row>
    <x:row r="64" ht="24" customHeight="1">
      <x:c r="A64" s="2"/>
      <x:c r="B64" s="2"/>
      <x:c r="C64" s="2"/>
      <x:c r="D64" s="2"/>
      <x:c r="E64" s="2"/>
      <x:c r="F64" s="2"/>
      <x:c r="G64" s="2"/>
      <x:c r="H64" s="7" t="str"/>
      <x:c r="I64" s="33" t="n">
        <x:f>IF(H64="",0,SUMIFS('MyBudget'!$F$2:$F$1001,'MyBudget'!$B$2:$B$1001,H64,'MyBudget'!$E$2:$E$1001,$I$8,'MyBudget'!$D$2:$D$1001,IF($C$9="All Months","*",$C$9)))</x:f>
        <x:v>0</x:v>
      </x:c>
      <x:c r="J64" s="33" t="n">
        <x:f>IF(H64="",0,SUMIFS('MyExpenses'!$F$2:$F$1001,'MyExpenses'!$E$2:$E$1001,H64,'MyExpenses'!$A$2:$A$1001,"&gt;="&amp;DATE($I$8,IF($C$9="All Months",1,MATCH($C$9,$A$39:$A$50,0)),1),'MyExpenses'!$A$2:$A$1001,"&lt;"&amp;DATE($I$8,IF($C$9="All Months",13,MATCH($C$9,$A$39:$A$50,0)+1),1)))</x:f>
        <x:v>0</x:v>
      </x:c>
      <x:c r="K64" s="33" t="n">
        <x:f>IF(H64="",0,SUMIFS('My Income'!$H$2:$H$1001,'My Income'!$B$2:$B$1001,H64,'My Income'!$D$2:$D$1001,$I$8,'My Income'!$C$2:$C$1001,IF($C$9="All Months","*",$C$9)))</x:f>
        <x:v>0</x:v>
      </x:c>
      <x:c r="L64" s="33" t="n">
        <x:f>MAX(0,J64-I64)</x:f>
        <x:v>0</x:v>
      </x:c>
      <x:c r="M64" t="str">
        <x:f>IF(H64="","",IF(L64&gt;0,"Over budget","Within budget"))</x:f>
      </x:c>
      <x:c r="O64" t="str">
        <x:f>IF($F$9="By Month","",H64)</x:f>
      </x:c>
      <x:c r="P64" t="n">
        <x:f>IF($F$9="By Month",0,I64)</x:f>
        <x:v>0</x:v>
      </x:c>
      <x:c r="Q64" t="n">
        <x:f>IF($F$9="By Month",0,J64)</x:f>
        <x:v>0</x:v>
      </x:c>
      <x:c r="R64" t="n">
        <x:f>IF($F$9="By Month",0,K64)</x:f>
        <x:v>0</x:v>
      </x:c>
      <x:c r="S64" t="n">
        <x:f>IF($F$9="By Month",0,L64)</x:f>
        <x:v>0</x:v>
      </x:c>
    </x:row>
    <x:row r="65" ht="24" customHeight="1">
      <x:c r="A65" s="2"/>
      <x:c r="B65" s="2"/>
      <x:c r="C65" s="2"/>
      <x:c r="D65" s="2"/>
      <x:c r="E65" s="2"/>
      <x:c r="F65" s="2"/>
      <x:c r="G65" s="2"/>
      <x:c r="H65" s="7" t="str"/>
      <x:c r="I65" s="33" t="n">
        <x:f>IF(H65="",0,SUMIFS('MyBudget'!$F$2:$F$1001,'MyBudget'!$B$2:$B$1001,H65,'MyBudget'!$E$2:$E$1001,$I$8,'MyBudget'!$D$2:$D$1001,IF($C$9="All Months","*",$C$9)))</x:f>
        <x:v>0</x:v>
      </x:c>
      <x:c r="J65" s="33" t="n">
        <x:f>IF(H65="",0,SUMIFS('MyExpenses'!$F$2:$F$1001,'MyExpenses'!$E$2:$E$1001,H65,'MyExpenses'!$A$2:$A$1001,"&gt;="&amp;DATE($I$8,IF($C$9="All Months",1,MATCH($C$9,$A$39:$A$50,0)),1),'MyExpenses'!$A$2:$A$1001,"&lt;"&amp;DATE($I$8,IF($C$9="All Months",13,MATCH($C$9,$A$39:$A$50,0)+1),1)))</x:f>
        <x:v>0</x:v>
      </x:c>
      <x:c r="K65" s="33" t="n">
        <x:f>IF(H65="",0,SUMIFS('My Income'!$H$2:$H$1001,'My Income'!$B$2:$B$1001,H65,'My Income'!$D$2:$D$1001,$I$8,'My Income'!$C$2:$C$1001,IF($C$9="All Months","*",$C$9)))</x:f>
        <x:v>0</x:v>
      </x:c>
      <x:c r="L65" s="33" t="n">
        <x:f>MAX(0,J65-I65)</x:f>
        <x:v>0</x:v>
      </x:c>
      <x:c r="M65" t="str">
        <x:f>IF(H65="","",IF(L65&gt;0,"Over budget","Within budget"))</x:f>
      </x:c>
      <x:c r="O65" t="str">
        <x:f>IF($F$9="By Month","",H65)</x:f>
      </x:c>
      <x:c r="P65" t="n">
        <x:f>IF($F$9="By Month",0,I65)</x:f>
        <x:v>0</x:v>
      </x:c>
      <x:c r="Q65" t="n">
        <x:f>IF($F$9="By Month",0,J65)</x:f>
        <x:v>0</x:v>
      </x:c>
      <x:c r="R65" t="n">
        <x:f>IF($F$9="By Month",0,K65)</x:f>
        <x:v>0</x:v>
      </x:c>
      <x:c r="S65" t="n">
        <x:f>IF($F$9="By Month",0,L65)</x:f>
        <x:v>0</x:v>
      </x:c>
    </x:row>
    <x:row r="66" ht="24" customHeight="1">
      <x:c r="A66" s="2"/>
      <x:c r="B66" s="2"/>
      <x:c r="C66" s="2"/>
      <x:c r="D66" s="2"/>
      <x:c r="E66" s="2"/>
      <x:c r="F66" s="2"/>
      <x:c r="G66" s="2"/>
      <x:c r="H66" s="7" t="str"/>
      <x:c r="I66" s="33" t="n">
        <x:f>IF(H66="",0,SUMIFS('MyBudget'!$F$2:$F$1001,'MyBudget'!$B$2:$B$1001,H66,'MyBudget'!$E$2:$E$1001,$I$8,'MyBudget'!$D$2:$D$1001,IF($C$9="All Months","*",$C$9)))</x:f>
        <x:v>0</x:v>
      </x:c>
      <x:c r="J66" s="33" t="n">
        <x:f>IF(H66="",0,SUMIFS('MyExpenses'!$F$2:$F$1001,'MyExpenses'!$E$2:$E$1001,H66,'MyExpenses'!$A$2:$A$1001,"&gt;="&amp;DATE($I$8,IF($C$9="All Months",1,MATCH($C$9,$A$39:$A$50,0)),1),'MyExpenses'!$A$2:$A$1001,"&lt;"&amp;DATE($I$8,IF($C$9="All Months",13,MATCH($C$9,$A$39:$A$50,0)+1),1)))</x:f>
        <x:v>0</x:v>
      </x:c>
      <x:c r="K66" s="33" t="n">
        <x:f>IF(H66="",0,SUMIFS('My Income'!$H$2:$H$1001,'My Income'!$B$2:$B$1001,H66,'My Income'!$D$2:$D$1001,$I$8,'My Income'!$C$2:$C$1001,IF($C$9="All Months","*",$C$9)))</x:f>
        <x:v>0</x:v>
      </x:c>
      <x:c r="L66" s="33" t="n">
        <x:f>MAX(0,J66-I66)</x:f>
        <x:v>0</x:v>
      </x:c>
      <x:c r="M66" t="str">
        <x:f>IF(H66="","",IF(L66&gt;0,"Over budget","Within budget"))</x:f>
      </x:c>
      <x:c r="O66" t="str">
        <x:f>IF($F$9="By Month","",H66)</x:f>
      </x:c>
      <x:c r="P66" t="n">
        <x:f>IF($F$9="By Month",0,I66)</x:f>
        <x:v>0</x:v>
      </x:c>
      <x:c r="Q66" t="n">
        <x:f>IF($F$9="By Month",0,J66)</x:f>
        <x:v>0</x:v>
      </x:c>
      <x:c r="R66" t="n">
        <x:f>IF($F$9="By Month",0,K66)</x:f>
        <x:v>0</x:v>
      </x:c>
      <x:c r="S66" t="n">
        <x:f>IF($F$9="By Month",0,L66)</x:f>
        <x:v>0</x:v>
      </x:c>
    </x:row>
    <x:row r="67" ht="24" customHeight="1">
      <x:c r="A67" s="2"/>
      <x:c r="B67" s="2"/>
      <x:c r="C67" s="2"/>
      <x:c r="D67" s="2"/>
      <x:c r="E67" s="2"/>
      <x:c r="F67" s="2"/>
      <x:c r="G67" s="2"/>
      <x:c r="H67" s="7" t="str"/>
      <x:c r="I67" s="33" t="n">
        <x:f>IF(H67="",0,SUMIFS('MyBudget'!$F$2:$F$1001,'MyBudget'!$B$2:$B$1001,H67,'MyBudget'!$E$2:$E$1001,$I$8,'MyBudget'!$D$2:$D$1001,IF($C$9="All Months","*",$C$9)))</x:f>
        <x:v>0</x:v>
      </x:c>
      <x:c r="J67" s="33" t="n">
        <x:f>IF(H67="",0,SUMIFS('MyExpenses'!$F$2:$F$1001,'MyExpenses'!$E$2:$E$1001,H67,'MyExpenses'!$A$2:$A$1001,"&gt;="&amp;DATE($I$8,IF($C$9="All Months",1,MATCH($C$9,$A$39:$A$50,0)),1),'MyExpenses'!$A$2:$A$1001,"&lt;"&amp;DATE($I$8,IF($C$9="All Months",13,MATCH($C$9,$A$39:$A$50,0)+1),1)))</x:f>
        <x:v>0</x:v>
      </x:c>
      <x:c r="K67" s="33" t="n">
        <x:f>IF(H67="",0,SUMIFS('My Income'!$H$2:$H$1001,'My Income'!$B$2:$B$1001,H67,'My Income'!$D$2:$D$1001,$I$8,'My Income'!$C$2:$C$1001,IF($C$9="All Months","*",$C$9)))</x:f>
        <x:v>0</x:v>
      </x:c>
      <x:c r="L67" s="33" t="n">
        <x:f>MAX(0,J67-I67)</x:f>
        <x:v>0</x:v>
      </x:c>
      <x:c r="M67" t="str">
        <x:f>IF(H67="","",IF(L67&gt;0,"Over budget","Within budget"))</x:f>
      </x:c>
      <x:c r="O67" t="str">
        <x:f>IF($F$9="By Month","",H67)</x:f>
      </x:c>
      <x:c r="P67" t="n">
        <x:f>IF($F$9="By Month",0,I67)</x:f>
        <x:v>0</x:v>
      </x:c>
      <x:c r="Q67" t="n">
        <x:f>IF($F$9="By Month",0,J67)</x:f>
        <x:v>0</x:v>
      </x:c>
      <x:c r="R67" t="n">
        <x:f>IF($F$9="By Month",0,K67)</x:f>
        <x:v>0</x:v>
      </x:c>
      <x:c r="S67" t="n">
        <x:f>IF($F$9="By Month",0,L67)</x:f>
        <x:v>0</x:v>
      </x:c>
    </x:row>
    <x:row r="68" ht="24" customHeight="1">
      <x:c r="A68" s="2"/>
      <x:c r="B68" s="2"/>
      <x:c r="C68" s="2"/>
      <x:c r="D68" s="2"/>
      <x:c r="E68" s="2"/>
      <x:c r="F68" s="2"/>
      <x:c r="G68" s="2"/>
      <x:c r="H68" s="7" t="str"/>
      <x:c r="I68" s="33" t="n">
        <x:f>IF(H68="",0,SUMIFS('MyBudget'!$F$2:$F$1001,'MyBudget'!$B$2:$B$1001,H68,'MyBudget'!$E$2:$E$1001,$I$8,'MyBudget'!$D$2:$D$1001,IF($C$9="All Months","*",$C$9)))</x:f>
        <x:v>0</x:v>
      </x:c>
      <x:c r="J68" s="33" t="n">
        <x:f>IF(H68="",0,SUMIFS('MyExpenses'!$F$2:$F$1001,'MyExpenses'!$E$2:$E$1001,H68,'MyExpenses'!$A$2:$A$1001,"&gt;="&amp;DATE($I$8,IF($C$9="All Months",1,MATCH($C$9,$A$39:$A$50,0)),1),'MyExpenses'!$A$2:$A$1001,"&lt;"&amp;DATE($I$8,IF($C$9="All Months",13,MATCH($C$9,$A$39:$A$50,0)+1),1)))</x:f>
        <x:v>0</x:v>
      </x:c>
      <x:c r="K68" s="33" t="n">
        <x:f>IF(H68="",0,SUMIFS('My Income'!$H$2:$H$1001,'My Income'!$B$2:$B$1001,H68,'My Income'!$D$2:$D$1001,$I$8,'My Income'!$C$2:$C$1001,IF($C$9="All Months","*",$C$9)))</x:f>
        <x:v>0</x:v>
      </x:c>
      <x:c r="L68" s="33" t="n">
        <x:f>MAX(0,J68-I68)</x:f>
        <x:v>0</x:v>
      </x:c>
      <x:c r="M68" t="str">
        <x:f>IF(H68="","",IF(L68&gt;0,"Over budget","Within budget"))</x:f>
      </x:c>
      <x:c r="O68" t="str">
        <x:f>IF($F$9="By Month","",H68)</x:f>
      </x:c>
      <x:c r="P68" t="n">
        <x:f>IF($F$9="By Month",0,I68)</x:f>
        <x:v>0</x:v>
      </x:c>
      <x:c r="Q68" t="n">
        <x:f>IF($F$9="By Month",0,J68)</x:f>
        <x:v>0</x:v>
      </x:c>
      <x:c r="R68" t="n">
        <x:f>IF($F$9="By Month",0,K68)</x:f>
        <x:v>0</x:v>
      </x:c>
      <x:c r="S68" t="n">
        <x:f>IF($F$9="By Month",0,L68)</x:f>
        <x:v>0</x:v>
      </x:c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</x:row>
    <x:row r="72" ht="24" customHeight="1">
      <x:c r="A72" s="2" t="str">
        <x:v>Add custom category names to the yellow Category cells above. Up to 30 categories and 1,000 input rows.</x:v>
      </x:c>
      <x:c r="B72" s="2" t="str">
        <x:v>Add custom category names to the yellow Category cells above. Up to 30 categories and 1,000 input rows.</x:v>
      </x:c>
      <x:c r="C72" s="2" t="str">
        <x:v>Add custom category names to the yellow Category cells above. Up to 30 categories and 1,000 input rows.</x:v>
      </x:c>
      <x:c r="D72" s="2" t="str">
        <x:v>Add custom category names to the yellow Category cells above. Up to 30 categories and 1,000 input rows.</x:v>
      </x:c>
      <x:c r="E72" s="2" t="str">
        <x:v>Add custom category names to the yellow Category cells above. Up to 30 categories and 1,000 input rows.</x:v>
      </x:c>
      <x:c r="F72" s="2" t="str">
        <x:v>Add custom category names to the yellow Category cells above. Up to 30 categories and 1,000 input rows.</x:v>
      </x:c>
      <x:c r="G72" s="2" t="str">
        <x:v>Add custom category names to the yellow Category cells above. Up to 30 categories and 1,000 input rows.</x:v>
      </x:c>
      <x:c r="H72" s="2" t="str">
        <x:v>Add custom category names to the yellow Category cells above. Up to 30 categories and 1,000 input rows.</x:v>
      </x:c>
      <x:c r="I72" s="2" t="str">
        <x:v>Add custom category names to the yellow Category cells above. Up to 30 categories and 1,000 input rows.</x:v>
      </x:c>
      <x:c r="J72" s="2" t="str">
        <x:v>Add custom category names to the yellow Category cells above. Up to 30 categories and 1,000 input rows.</x:v>
      </x:c>
      <x:c r="K72" s="2" t="str">
        <x:v>Add custom category names to the yellow Category cells above. Up to 30 categories and 1,000 input rows.</x:v>
      </x:c>
      <x:c r="L72" s="2" t="str">
        <x:v>Add custom category names to the yellow Category cells above. Up to 30 categories and 1,000 input rows.</x:v>
      </x:c>
      <x:c r="M72" t="str">
        <x:v>Add custom category names to the yellow Category cells above. Up to 30 categories and 1,000 input rows.</x:v>
      </x:c>
    </x:row>
    <x:row r="73" ht="24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</x:row>
    <x:row r="74" ht="24" customHeight="1">
      <x:c r="A74" s="2" t="str">
        <x:v>RCCampo | PH | 2026</x:v>
      </x:c>
      <x:c r="B74" s="2" t="str">
        <x:v>RCCampo | PH | 2026</x:v>
      </x:c>
      <x:c r="C74" s="2" t="str">
        <x:v>RCCampo | PH | 2026</x:v>
      </x:c>
      <x:c r="D74" s="2" t="str">
        <x:v>RCCampo | PH | 2026</x:v>
      </x:c>
      <x:c r="E74" s="2" t="str">
        <x:v>RCCampo | PH | 2026</x:v>
      </x:c>
      <x:c r="F74" s="2" t="str">
        <x:v>RCCampo | PH | 2026</x:v>
      </x:c>
      <x:c r="G74" s="2" t="str">
        <x:v>RCCampo | PH | 2026</x:v>
      </x:c>
      <x:c r="H74" s="2" t="str">
        <x:v>RCCampo | PH | 2026</x:v>
      </x:c>
      <x:c r="I74" s="2" t="str">
        <x:v>RCCampo | PH | 2026</x:v>
      </x:c>
      <x:c r="J74" s="2" t="str">
        <x:v>RCCampo | PH | 2026</x:v>
      </x:c>
      <x:c r="K74" s="2" t="str">
        <x:v>RCCampo | PH | 2026</x:v>
      </x:c>
      <x:c r="L74" s="2" t="str">
        <x:v>RCCampo | PH | 2026</x:v>
      </x:c>
      <x:c r="M74" t="str">
        <x:v>RCCampo | PH | 2026</x:v>
      </x:c>
    </x:row>
    <x:row r="75" ht="24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</x:row>
    <x:row r="76" ht="24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</x:row>
    <x:row r="77" ht="24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</x:row>
    <x:row r="78" ht="24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</x:row>
    <x:row r="79" ht="24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</x:row>
    <x:row r="80" ht="24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</x:row>
  </x:sheetData>
  <x:mergeCells>
    <x:mergeCell ref="B2:K3"/>
    <x:mergeCell ref="B4:K4"/>
    <x:mergeCell ref="B6:K6"/>
    <x:mergeCell ref="B7:K7"/>
    <x:mergeCell ref="C9:D9"/>
    <x:mergeCell ref="F9:G9"/>
    <x:mergeCell ref="C8:D8"/>
    <x:mergeCell ref="F8:G8"/>
    <x:mergeCell ref="I8:K8"/>
    <x:mergeCell ref="B10:K10"/>
    <x:mergeCell ref="B12:C12"/>
    <x:mergeCell ref="B13:C13"/>
    <x:mergeCell ref="E12:F12"/>
    <x:mergeCell ref="E13:F13"/>
    <x:mergeCell ref="H12:I12"/>
    <x:mergeCell ref="H13:I13"/>
    <x:mergeCell ref="K12:L12"/>
    <x:mergeCell ref="K13:L13"/>
    <x:mergeCell ref="B15:L15"/>
    <x:mergeCell ref="B16:L16"/>
    <x:mergeCell ref="A72:M72"/>
    <x:mergeCell ref="A74:M74"/>
  </x:mergeCells>
  <x:conditionalFormatting sqref="B15:L15">
    <x:cfRule type="expression" dxfId="0" priority="1">
      <x:formula>$H$13&gt;$B$13</x:formula>
    </x:cfRule>
  </x:conditionalFormatting>
  <x:conditionalFormatting sqref="A39:F50">
    <x:cfRule type="expression" dxfId="1" priority="2">
      <x:formula>$E39&gt;0</x:formula>
    </x:cfRule>
  </x:conditionalFormatting>
  <x:conditionalFormatting sqref="H39:M68">
    <x:cfRule type="expression" dxfId="2" priority="3">
      <x:formula>$L39&gt;0</x:formula>
    </x:cfRule>
  </x:conditionalFormatting>
  <x:dataValidations count="3">
    <x:dataValidation type="list" sqref="C9">
      <x:formula1>"All Months,January,February,March,April,May,June,July,August,September,October,November,December"</x:formula1>
    </x:dataValidation>
    <x:dataValidation type="list" sqref="F9">
      <x:formula1>"By Month,By Category"</x:formula1>
    </x:dataValidation>
    <x:dataValidation type="list" sqref="F8">
      <x:formula1>"PHP,USD,EUR,GBP,CAD,AUD,SGD,JPY,AED,SAR,HKD,INR"</x:formula1>
    </x:dataValidation>
  </x:dataValidations>
  <x:pageMargins left="0.7" right="0.7" top="0.75" bottom="0.75" header="0.3" footer="0.3"/>
  <x:drawing xmlns:r="http://schemas.openxmlformats.org/officeDocument/2006/relationships" r:id="R6fee1677db624839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8" customHeight="1">
      <x:c r="A1" s="29" t="str">
        <x:v>Frequency Interval</x:v>
      </x:c>
      <x:c r="B1" s="29" t="str">
        <x:v>Category</x:v>
      </x:c>
      <x:c r="C1" s="29" t="str">
        <x:v>Item</x:v>
      </x:c>
      <x:c r="D1" s="29" t="str">
        <x:v>Month</x:v>
      </x:c>
      <x:c r="E1" s="29" t="str">
        <x:v>Year</x:v>
      </x:c>
      <x:c r="F1" s="29" t="str">
        <x:v>Budget Amount</x:v>
      </x:c>
      <x:c r="G1" s="1"/>
      <x:c r="H1" s="1"/>
      <x:c r="I1" s="1"/>
      <x:c r="J1" s="1"/>
      <x:c r="K1" s="1"/>
      <x:c r="L1" s="1"/>
    </x:row>
    <x:row r="2" ht="24" customHeight="1">
      <x:c r="A2" s="34" t="str">
        <x:v>Monthly</x:v>
      </x:c>
      <x:c r="B2" s="34" t="str">
        <x:v>Basic Necessities</x:v>
      </x:c>
      <x:c r="C2" s="34" t="str">
        <x:v>Groceries</x:v>
      </x:c>
      <x:c r="D2" s="34" t="str">
        <x:v>January</x:v>
      </x:c>
      <x:c r="E2" s="34" t="n">
        <x:v>2026</x:v>
      </x:c>
      <x:c r="F2" s="35" t="n">
        <x:v>5000</x:v>
      </x:c>
      <x:c r="G2" s="1"/>
      <x:c r="H2" s="1"/>
      <x:c r="I2" s="1"/>
      <x:c r="J2" s="1"/>
      <x:c r="K2" s="1"/>
      <x:c r="L2" s="1"/>
    </x:row>
    <x:row r="3" ht="24" customHeight="1">
      <x:c r="A3" s="34" t="str">
        <x:v>Monthly</x:v>
      </x:c>
      <x:c r="B3" s="34" t="str">
        <x:v>Basic Necessities</x:v>
      </x:c>
      <x:c r="C3" s="34" t="str">
        <x:v>Groceries</x:v>
      </x:c>
      <x:c r="D3" s="34" t="str">
        <x:v>February</x:v>
      </x:c>
      <x:c r="E3" s="34" t="n">
        <x:v>2026</x:v>
      </x:c>
      <x:c r="F3" s="35" t="n">
        <x:v>5000</x:v>
      </x:c>
      <x:c r="G3" s="1"/>
      <x:c r="H3" s="1"/>
      <x:c r="I3" s="1"/>
      <x:c r="J3" s="1"/>
      <x:c r="K3" s="1"/>
      <x:c r="L3" s="1"/>
    </x:row>
    <x:row r="4" ht="24" customHeight="1">
      <x:c r="A4" s="34" t="str">
        <x:v>Monthly</x:v>
      </x:c>
      <x:c r="B4" s="34" t="str">
        <x:v>Bills</x:v>
      </x:c>
      <x:c r="C4" s="34" t="str">
        <x:v>Electricity</x:v>
      </x:c>
      <x:c r="D4" s="34" t="str">
        <x:v>February</x:v>
      </x:c>
      <x:c r="E4" s="34" t="n">
        <x:v>2026</x:v>
      </x:c>
      <x:c r="F4" s="35" t="n">
        <x:v>2000</x:v>
      </x:c>
      <x:c r="G4" s="1"/>
      <x:c r="H4" s="1"/>
      <x:c r="I4" s="1"/>
      <x:c r="J4" s="1"/>
      <x:c r="K4" s="1"/>
      <x:c r="L4" s="1"/>
    </x:row>
    <x:row r="5" ht="24" customHeight="1">
      <x:c r="A5" s="34"/>
      <x:c r="B5" s="34"/>
      <x:c r="C5" s="34"/>
      <x:c r="D5" s="34"/>
      <x:c r="E5" s="34"/>
      <x:c r="F5" s="35"/>
      <x:c r="G5" s="1"/>
      <x:c r="H5" s="1"/>
      <x:c r="I5" s="1"/>
      <x:c r="J5" s="1"/>
      <x:c r="K5" s="1"/>
      <x:c r="L5" s="1"/>
    </x:row>
    <x:row r="6" ht="24" customHeight="1">
      <x:c r="A6" s="34"/>
      <x:c r="B6" s="34"/>
      <x:c r="C6" s="34"/>
      <x:c r="D6" s="34"/>
      <x:c r="E6" s="34"/>
      <x:c r="F6" s="35"/>
      <x:c r="G6" s="1"/>
      <x:c r="H6" s="1"/>
      <x:c r="I6" s="1"/>
      <x:c r="J6" s="1"/>
      <x:c r="K6" s="1"/>
      <x:c r="L6" s="1"/>
    </x:row>
    <x:row r="7" ht="24" customHeight="1">
      <x:c r="A7" s="34"/>
      <x:c r="B7" s="34"/>
      <x:c r="C7" s="34"/>
      <x:c r="D7" s="34"/>
      <x:c r="E7" s="34"/>
      <x:c r="F7" s="35"/>
      <x:c r="G7" s="1"/>
      <x:c r="H7" s="1"/>
      <x:c r="I7" s="1"/>
      <x:c r="J7" s="1"/>
      <x:c r="K7" s="1"/>
      <x:c r="L7" s="1"/>
    </x:row>
    <x:row r="8" ht="24" customHeight="1">
      <x:c r="A8" s="34"/>
      <x:c r="B8" s="34"/>
      <x:c r="C8" s="34"/>
      <x:c r="D8" s="34"/>
      <x:c r="E8" s="34"/>
      <x:c r="F8" s="35"/>
      <x:c r="G8" s="1"/>
      <x:c r="H8" s="1"/>
      <x:c r="I8" s="1"/>
      <x:c r="J8" s="1"/>
      <x:c r="K8" s="1"/>
      <x:c r="L8" s="1"/>
    </x:row>
    <x:row r="9" ht="24" customHeight="1">
      <x:c r="A9" s="34"/>
      <x:c r="B9" s="34"/>
      <x:c r="C9" s="34"/>
      <x:c r="D9" s="34"/>
      <x:c r="E9" s="34"/>
      <x:c r="F9" s="35"/>
      <x:c r="G9" s="1"/>
      <x:c r="H9" s="1"/>
      <x:c r="I9" s="1"/>
      <x:c r="J9" s="1"/>
      <x:c r="K9" s="1"/>
      <x:c r="L9" s="1"/>
    </x:row>
    <x:row r="10" ht="24" customHeight="1">
      <x:c r="A10" s="34"/>
      <x:c r="B10" s="34"/>
      <x:c r="C10" s="34"/>
      <x:c r="D10" s="34"/>
      <x:c r="E10" s="34"/>
      <x:c r="F10" s="35"/>
      <x:c r="G10" s="1"/>
      <x:c r="H10" s="1"/>
      <x:c r="I10" s="1"/>
      <x:c r="J10" s="1"/>
      <x:c r="K10" s="1"/>
      <x:c r="L10" s="1"/>
    </x:row>
    <x:row r="11" ht="24" customHeight="1">
      <x:c r="A11" s="34"/>
      <x:c r="B11" s="34"/>
      <x:c r="C11" s="34"/>
      <x:c r="D11" s="34"/>
      <x:c r="E11" s="34"/>
      <x:c r="F11" s="35"/>
      <x:c r="G11" s="1"/>
      <x:c r="H11" s="1"/>
      <x:c r="I11" s="1"/>
      <x:c r="J11" s="1"/>
      <x:c r="K11" s="1"/>
      <x:c r="L11" s="1"/>
    </x:row>
    <x:row r="12" ht="24" customHeight="1">
      <x:c r="A12" s="34"/>
      <x:c r="B12" s="34"/>
      <x:c r="C12" s="34"/>
      <x:c r="D12" s="34"/>
      <x:c r="E12" s="34"/>
      <x:c r="F12" s="35"/>
      <x:c r="G12" s="1"/>
      <x:c r="H12" s="1"/>
      <x:c r="I12" s="1"/>
      <x:c r="J12" s="1"/>
      <x:c r="K12" s="1"/>
      <x:c r="L12" s="1"/>
    </x:row>
    <x:row r="13" ht="24" customHeight="1">
      <x:c r="A13" s="34"/>
      <x:c r="B13" s="34"/>
      <x:c r="C13" s="34"/>
      <x:c r="D13" s="34"/>
      <x:c r="E13" s="34"/>
      <x:c r="F13" s="35"/>
      <x:c r="G13" s="1"/>
      <x:c r="H13" s="1"/>
      <x:c r="I13" s="1"/>
      <x:c r="J13" s="1"/>
      <x:c r="K13" s="1"/>
      <x:c r="L13" s="1"/>
    </x:row>
    <x:row r="14" ht="24" customHeight="1">
      <x:c r="A14" s="34"/>
      <x:c r="B14" s="34"/>
      <x:c r="C14" s="34"/>
      <x:c r="D14" s="34"/>
      <x:c r="E14" s="34"/>
      <x:c r="F14" s="35"/>
      <x:c r="G14" s="1"/>
      <x:c r="H14" s="1"/>
      <x:c r="I14" s="1"/>
      <x:c r="J14" s="1"/>
      <x:c r="K14" s="1"/>
      <x:c r="L14" s="1"/>
    </x:row>
    <x:row r="15" ht="24" customHeight="1">
      <x:c r="A15" s="34"/>
      <x:c r="B15" s="34"/>
      <x:c r="C15" s="34"/>
      <x:c r="D15" s="34"/>
      <x:c r="E15" s="34"/>
      <x:c r="F15" s="35"/>
      <x:c r="G15" s="1"/>
      <x:c r="H15" s="1"/>
      <x:c r="I15" s="1"/>
      <x:c r="J15" s="1"/>
      <x:c r="K15" s="1"/>
      <x:c r="L15" s="1"/>
    </x:row>
    <x:row r="16" ht="24" customHeight="1">
      <x:c r="A16" s="34"/>
      <x:c r="B16" s="34"/>
      <x:c r="C16" s="34"/>
      <x:c r="D16" s="34"/>
      <x:c r="E16" s="34"/>
      <x:c r="F16" s="35"/>
      <x:c r="G16" s="1"/>
      <x:c r="H16" s="1"/>
      <x:c r="I16" s="1"/>
      <x:c r="J16" s="1"/>
      <x:c r="K16" s="1"/>
      <x:c r="L16" s="1"/>
    </x:row>
    <x:row r="17" ht="24" customHeight="1">
      <x:c r="A17" s="34"/>
      <x:c r="B17" s="34"/>
      <x:c r="C17" s="34"/>
      <x:c r="D17" s="34"/>
      <x:c r="E17" s="34"/>
      <x:c r="F17" s="35"/>
      <x:c r="G17" s="1"/>
      <x:c r="H17" s="1"/>
      <x:c r="I17" s="1"/>
      <x:c r="J17" s="1"/>
      <x:c r="K17" s="1"/>
      <x:c r="L17" s="1"/>
    </x:row>
    <x:row r="18" ht="24" customHeight="1">
      <x:c r="A18" s="34"/>
      <x:c r="B18" s="34"/>
      <x:c r="C18" s="34"/>
      <x:c r="D18" s="34"/>
      <x:c r="E18" s="34"/>
      <x:c r="F18" s="35"/>
      <x:c r="G18" s="1"/>
      <x:c r="H18" s="1"/>
      <x:c r="I18" s="1"/>
      <x:c r="J18" s="1"/>
      <x:c r="K18" s="1"/>
      <x:c r="L18" s="1"/>
    </x:row>
    <x:row r="19" ht="24" customHeight="1">
      <x:c r="A19" s="34"/>
      <x:c r="B19" s="34"/>
      <x:c r="C19" s="34"/>
      <x:c r="D19" s="34"/>
      <x:c r="E19" s="34"/>
      <x:c r="F19" s="35"/>
      <x:c r="G19" s="1"/>
      <x:c r="H19" s="1"/>
      <x:c r="I19" s="1"/>
      <x:c r="J19" s="1"/>
      <x:c r="K19" s="1"/>
      <x:c r="L19" s="1"/>
    </x:row>
    <x:row r="20" ht="24" customHeight="1">
      <x:c r="A20" s="34"/>
      <x:c r="B20" s="34"/>
      <x:c r="C20" s="34"/>
      <x:c r="D20" s="34"/>
      <x:c r="E20" s="34"/>
      <x:c r="F20" s="35"/>
      <x:c r="G20" s="1"/>
      <x:c r="H20" s="1"/>
      <x:c r="I20" s="1"/>
      <x:c r="J20" s="1"/>
      <x:c r="K20" s="1"/>
      <x:c r="L20" s="1"/>
    </x:row>
    <x:row r="21" ht="24" customHeight="1">
      <x:c r="A21" s="34"/>
      <x:c r="B21" s="34"/>
      <x:c r="C21" s="34"/>
      <x:c r="D21" s="34"/>
      <x:c r="E21" s="34"/>
      <x:c r="F21" s="35"/>
      <x:c r="G21" s="1"/>
      <x:c r="H21" s="1"/>
      <x:c r="I21" s="1"/>
      <x:c r="J21" s="1"/>
      <x:c r="K21" s="1"/>
      <x:c r="L21" s="1"/>
    </x:row>
    <x:row r="22" ht="24" customHeight="1">
      <x:c r="A22" s="34"/>
      <x:c r="B22" s="34"/>
      <x:c r="C22" s="34"/>
      <x:c r="D22" s="34"/>
      <x:c r="E22" s="34"/>
      <x:c r="F22" s="35"/>
      <x:c r="G22" s="1"/>
      <x:c r="H22" s="1"/>
      <x:c r="I22" s="1"/>
      <x:c r="J22" s="1"/>
      <x:c r="K22" s="1"/>
      <x:c r="L22" s="1"/>
    </x:row>
    <x:row r="23" ht="24" customHeight="1">
      <x:c r="A23" s="34"/>
      <x:c r="B23" s="34"/>
      <x:c r="C23" s="34"/>
      <x:c r="D23" s="34"/>
      <x:c r="E23" s="34"/>
      <x:c r="F23" s="35"/>
      <x:c r="G23" s="1"/>
      <x:c r="H23" s="1"/>
      <x:c r="I23" s="1"/>
      <x:c r="J23" s="1"/>
      <x:c r="K23" s="1"/>
      <x:c r="L23" s="1"/>
    </x:row>
    <x:row r="24" ht="24" customHeight="1">
      <x:c r="A24" s="34"/>
      <x:c r="B24" s="34"/>
      <x:c r="C24" s="34"/>
      <x:c r="D24" s="34"/>
      <x:c r="E24" s="34"/>
      <x:c r="F24" s="35"/>
      <x:c r="G24" s="1"/>
      <x:c r="H24" s="1"/>
      <x:c r="I24" s="1"/>
      <x:c r="J24" s="1"/>
      <x:c r="K24" s="1"/>
      <x:c r="L24" s="1"/>
    </x:row>
    <x:row r="25" ht="24" customHeight="1">
      <x:c r="A25" s="34"/>
      <x:c r="B25" s="34"/>
      <x:c r="C25" s="34"/>
      <x:c r="D25" s="34"/>
      <x:c r="E25" s="34"/>
      <x:c r="F25" s="35"/>
      <x:c r="G25" s="1"/>
      <x:c r="H25" s="1"/>
      <x:c r="I25" s="1"/>
      <x:c r="J25" s="1"/>
      <x:c r="K25" s="1"/>
      <x:c r="L25" s="1"/>
    </x:row>
    <x:row r="26" ht="24" customHeight="1">
      <x:c r="A26" s="34"/>
      <x:c r="B26" s="34"/>
      <x:c r="C26" s="34"/>
      <x:c r="D26" s="34"/>
      <x:c r="E26" s="34"/>
      <x:c r="F26" s="35"/>
      <x:c r="G26" s="1"/>
      <x:c r="H26" s="1"/>
      <x:c r="I26" s="1"/>
      <x:c r="J26" s="1"/>
      <x:c r="K26" s="1"/>
      <x:c r="L26" s="1"/>
    </x:row>
    <x:row r="27" ht="24" customHeight="1">
      <x:c r="A27" s="34"/>
      <x:c r="B27" s="34"/>
      <x:c r="C27" s="34"/>
      <x:c r="D27" s="34"/>
      <x:c r="E27" s="34"/>
      <x:c r="F27" s="35"/>
      <x:c r="G27" s="1"/>
      <x:c r="H27" s="1"/>
      <x:c r="I27" s="1"/>
      <x:c r="J27" s="1"/>
      <x:c r="K27" s="1"/>
      <x:c r="L27" s="1"/>
    </x:row>
    <x:row r="28" ht="24" customHeight="1">
      <x:c r="A28" s="34"/>
      <x:c r="B28" s="34"/>
      <x:c r="C28" s="34"/>
      <x:c r="D28" s="34"/>
      <x:c r="E28" s="34"/>
      <x:c r="F28" s="35"/>
      <x:c r="G28" s="1"/>
      <x:c r="H28" s="1"/>
      <x:c r="I28" s="1"/>
      <x:c r="J28" s="1"/>
      <x:c r="K28" s="1"/>
      <x:c r="L28" s="1"/>
    </x:row>
    <x:row r="29" ht="24" customHeight="1">
      <x:c r="A29" s="34"/>
      <x:c r="B29" s="34"/>
      <x:c r="C29" s="34"/>
      <x:c r="D29" s="34"/>
      <x:c r="E29" s="34"/>
      <x:c r="F29" s="35"/>
      <x:c r="G29" s="1"/>
      <x:c r="H29" s="1"/>
      <x:c r="I29" s="1"/>
      <x:c r="J29" s="1"/>
      <x:c r="K29" s="1"/>
      <x:c r="L29" s="1"/>
    </x:row>
    <x:row r="30" ht="24" customHeight="1">
      <x:c r="A30" s="34"/>
      <x:c r="B30" s="34"/>
      <x:c r="C30" s="34"/>
      <x:c r="D30" s="34"/>
      <x:c r="E30" s="34"/>
      <x:c r="F30" s="35"/>
      <x:c r="G30" s="1"/>
      <x:c r="H30" s="1"/>
      <x:c r="I30" s="1"/>
      <x:c r="J30" s="1"/>
      <x:c r="K30" s="1"/>
      <x:c r="L30" s="1"/>
    </x:row>
    <x:row r="31" ht="24" customHeight="1">
      <x:c r="A31" s="34"/>
      <x:c r="B31" s="34"/>
      <x:c r="C31" s="34"/>
      <x:c r="D31" s="34"/>
      <x:c r="E31" s="34"/>
      <x:c r="F31" s="35"/>
      <x:c r="G31" s="1"/>
      <x:c r="H31" s="1"/>
      <x:c r="I31" s="1"/>
      <x:c r="J31" s="1"/>
      <x:c r="K31" s="1"/>
      <x:c r="L31" s="1"/>
    </x:row>
    <x:row r="32" ht="24" customHeight="1">
      <x:c r="A32" s="34"/>
      <x:c r="B32" s="34"/>
      <x:c r="C32" s="34"/>
      <x:c r="D32" s="34"/>
      <x:c r="E32" s="34"/>
      <x:c r="F32" s="35"/>
      <x:c r="G32" s="1"/>
      <x:c r="H32" s="1"/>
      <x:c r="I32" s="1"/>
      <x:c r="J32" s="1"/>
      <x:c r="K32" s="1"/>
      <x:c r="L32" s="1"/>
    </x:row>
    <x:row r="33" ht="24" customHeight="1">
      <x:c r="A33" s="34"/>
      <x:c r="B33" s="34"/>
      <x:c r="C33" s="34"/>
      <x:c r="D33" s="34"/>
      <x:c r="E33" s="34"/>
      <x:c r="F33" s="35"/>
      <x:c r="G33" s="1"/>
      <x:c r="H33" s="1"/>
      <x:c r="I33" s="1"/>
      <x:c r="J33" s="1"/>
      <x:c r="K33" s="1"/>
      <x:c r="L33" s="1"/>
    </x:row>
    <x:row r="34" ht="24" customHeight="1">
      <x:c r="A34" s="34"/>
      <x:c r="B34" s="34"/>
      <x:c r="C34" s="34"/>
      <x:c r="D34" s="34"/>
      <x:c r="E34" s="34"/>
      <x:c r="F34" s="35"/>
      <x:c r="G34" s="1"/>
      <x:c r="H34" s="1"/>
      <x:c r="I34" s="1"/>
      <x:c r="J34" s="1"/>
      <x:c r="K34" s="1"/>
      <x:c r="L34" s="1"/>
    </x:row>
    <x:row r="35" ht="24" customHeight="1">
      <x:c r="A35" s="34"/>
      <x:c r="B35" s="34"/>
      <x:c r="C35" s="34"/>
      <x:c r="D35" s="34"/>
      <x:c r="E35" s="34"/>
      <x:c r="F35" s="35"/>
      <x:c r="G35" s="1"/>
      <x:c r="H35" s="1"/>
      <x:c r="I35" s="1"/>
      <x:c r="J35" s="1"/>
      <x:c r="K35" s="1"/>
      <x:c r="L35" s="1"/>
    </x:row>
    <x:row r="36" ht="24" customHeight="1">
      <x:c r="A36" s="34"/>
      <x:c r="B36" s="34"/>
      <x:c r="C36" s="34"/>
      <x:c r="D36" s="34"/>
      <x:c r="E36" s="34"/>
      <x:c r="F36" s="35"/>
      <x:c r="G36" s="1"/>
      <x:c r="H36" s="1"/>
      <x:c r="I36" s="1"/>
      <x:c r="J36" s="1"/>
      <x:c r="K36" s="1"/>
      <x:c r="L36" s="1"/>
    </x:row>
    <x:row r="37" ht="24" customHeight="1">
      <x:c r="A37" s="34"/>
      <x:c r="B37" s="34"/>
      <x:c r="C37" s="34"/>
      <x:c r="D37" s="34"/>
      <x:c r="E37" s="34"/>
      <x:c r="F37" s="35"/>
      <x:c r="G37" s="1"/>
      <x:c r="H37" s="1"/>
      <x:c r="I37" s="1"/>
      <x:c r="J37" s="1"/>
      <x:c r="K37" s="1"/>
      <x:c r="L37" s="1"/>
    </x:row>
    <x:row r="38" ht="24" customHeight="1">
      <x:c r="A38" s="34"/>
      <x:c r="B38" s="34"/>
      <x:c r="C38" s="34"/>
      <x:c r="D38" s="34"/>
      <x:c r="E38" s="34"/>
      <x:c r="F38" s="35"/>
      <x:c r="G38" s="1"/>
      <x:c r="H38" s="1"/>
      <x:c r="I38" s="1"/>
      <x:c r="J38" s="1"/>
      <x:c r="K38" s="1"/>
      <x:c r="L38" s="1"/>
    </x:row>
    <x:row r="39" ht="24" customHeight="1">
      <x:c r="A39" s="34"/>
      <x:c r="B39" s="34"/>
      <x:c r="C39" s="34"/>
      <x:c r="D39" s="34"/>
      <x:c r="E39" s="34"/>
      <x:c r="F39" s="35"/>
      <x:c r="G39" s="1"/>
      <x:c r="H39" s="1"/>
      <x:c r="I39" s="1"/>
      <x:c r="J39" s="1"/>
      <x:c r="K39" s="1"/>
      <x:c r="L39" s="1"/>
    </x:row>
    <x:row r="40" ht="24" customHeight="1">
      <x:c r="A40" s="34"/>
      <x:c r="B40" s="34"/>
      <x:c r="C40" s="34"/>
      <x:c r="D40" s="34"/>
      <x:c r="E40" s="34"/>
      <x:c r="F40" s="35"/>
      <x:c r="G40" s="1"/>
      <x:c r="H40" s="1"/>
      <x:c r="I40" s="1"/>
      <x:c r="J40" s="1"/>
      <x:c r="K40" s="1"/>
      <x:c r="L40" s="1"/>
    </x:row>
    <x:row r="41" ht="24" customHeight="1">
      <x:c r="A41" s="34"/>
      <x:c r="B41" s="34"/>
      <x:c r="C41" s="34"/>
      <x:c r="D41" s="34"/>
      <x:c r="E41" s="34"/>
      <x:c r="F41" s="35"/>
      <x:c r="G41" s="1"/>
      <x:c r="H41" s="1"/>
      <x:c r="I41" s="1"/>
      <x:c r="J41" s="1"/>
      <x:c r="K41" s="1"/>
      <x:c r="L41" s="1"/>
    </x:row>
    <x:row r="42" ht="24" customHeight="1">
      <x:c r="A42" s="34"/>
      <x:c r="B42" s="34"/>
      <x:c r="C42" s="34"/>
      <x:c r="D42" s="34"/>
      <x:c r="E42" s="34"/>
      <x:c r="F42" s="35"/>
      <x:c r="G42" s="1"/>
      <x:c r="H42" s="1"/>
      <x:c r="I42" s="1"/>
      <x:c r="J42" s="1"/>
      <x:c r="K42" s="1"/>
      <x:c r="L42" s="1"/>
    </x:row>
    <x:row r="43" ht="24" customHeight="1">
      <x:c r="A43" s="34"/>
      <x:c r="B43" s="34"/>
      <x:c r="C43" s="34"/>
      <x:c r="D43" s="34"/>
      <x:c r="E43" s="34"/>
      <x:c r="F43" s="35"/>
      <x:c r="G43" s="1"/>
      <x:c r="H43" s="1"/>
      <x:c r="I43" s="1"/>
      <x:c r="J43" s="1"/>
      <x:c r="K43" s="1"/>
      <x:c r="L43" s="1"/>
    </x:row>
    <x:row r="44" ht="24" customHeight="1">
      <x:c r="A44" s="34"/>
      <x:c r="B44" s="34"/>
      <x:c r="C44" s="34"/>
      <x:c r="D44" s="34"/>
      <x:c r="E44" s="34"/>
      <x:c r="F44" s="35"/>
      <x:c r="G44" s="1"/>
      <x:c r="H44" s="1"/>
      <x:c r="I44" s="1"/>
      <x:c r="J44" s="1"/>
      <x:c r="K44" s="1"/>
      <x:c r="L44" s="1"/>
    </x:row>
    <x:row r="45" ht="24" customHeight="1">
      <x:c r="A45" s="34"/>
      <x:c r="B45" s="34"/>
      <x:c r="C45" s="34"/>
      <x:c r="D45" s="34"/>
      <x:c r="E45" s="34"/>
      <x:c r="F45" s="35"/>
      <x:c r="G45" s="1"/>
      <x:c r="H45" s="1"/>
      <x:c r="I45" s="1"/>
      <x:c r="J45" s="1"/>
      <x:c r="K45" s="1"/>
      <x:c r="L45" s="1"/>
    </x:row>
    <x:row r="46" ht="24" customHeight="1">
      <x:c r="A46" s="34"/>
      <x:c r="B46" s="34"/>
      <x:c r="C46" s="34"/>
      <x:c r="D46" s="34"/>
      <x:c r="E46" s="34"/>
      <x:c r="F46" s="35"/>
      <x:c r="G46" s="1"/>
      <x:c r="H46" s="1"/>
      <x:c r="I46" s="1"/>
      <x:c r="J46" s="1"/>
      <x:c r="K46" s="1"/>
      <x:c r="L46" s="1"/>
    </x:row>
    <x:row r="47" ht="24" customHeight="1">
      <x:c r="A47" s="34"/>
      <x:c r="B47" s="34"/>
      <x:c r="C47" s="34"/>
      <x:c r="D47" s="34"/>
      <x:c r="E47" s="34"/>
      <x:c r="F47" s="35"/>
      <x:c r="G47" s="1"/>
      <x:c r="H47" s="1"/>
      <x:c r="I47" s="1"/>
      <x:c r="J47" s="1"/>
      <x:c r="K47" s="1"/>
      <x:c r="L47" s="1"/>
    </x:row>
    <x:row r="48" ht="24" customHeight="1">
      <x:c r="A48" s="34"/>
      <x:c r="B48" s="34"/>
      <x:c r="C48" s="34"/>
      <x:c r="D48" s="34"/>
      <x:c r="E48" s="34"/>
      <x:c r="F48" s="35"/>
      <x:c r="G48" s="1"/>
      <x:c r="H48" s="1"/>
      <x:c r="I48" s="1"/>
      <x:c r="J48" s="1"/>
      <x:c r="K48" s="1"/>
      <x:c r="L48" s="1"/>
    </x:row>
    <x:row r="49" ht="24" customHeight="1">
      <x:c r="A49" s="34"/>
      <x:c r="B49" s="34"/>
      <x:c r="C49" s="34"/>
      <x:c r="D49" s="34"/>
      <x:c r="E49" s="34"/>
      <x:c r="F49" s="35"/>
      <x:c r="G49" s="1"/>
      <x:c r="H49" s="1"/>
      <x:c r="I49" s="1"/>
      <x:c r="J49" s="1"/>
      <x:c r="K49" s="1"/>
      <x:c r="L49" s="1"/>
    </x:row>
    <x:row r="50" ht="24" customHeight="1">
      <x:c r="A50" s="34"/>
      <x:c r="B50" s="34"/>
      <x:c r="C50" s="34"/>
      <x:c r="D50" s="34"/>
      <x:c r="E50" s="34"/>
      <x:c r="F50" s="35"/>
      <x:c r="G50" s="1"/>
      <x:c r="H50" s="1"/>
      <x:c r="I50" s="1"/>
      <x:c r="J50" s="1"/>
      <x:c r="K50" s="1"/>
      <x:c r="L50" s="1"/>
    </x:row>
    <x:row r="51" ht="24" customHeight="1">
      <x:c r="A51" s="34"/>
      <x:c r="B51" s="34"/>
      <x:c r="C51" s="34"/>
      <x:c r="D51" s="34"/>
      <x:c r="E51" s="34"/>
      <x:c r="F51" s="35"/>
      <x:c r="G51" s="1"/>
      <x:c r="H51" s="1"/>
      <x:c r="I51" s="1"/>
      <x:c r="J51" s="1"/>
      <x:c r="K51" s="1"/>
      <x:c r="L51" s="1"/>
    </x:row>
    <x:row r="52" ht="24" customHeight="1">
      <x:c r="A52" s="34"/>
      <x:c r="B52" s="34"/>
      <x:c r="C52" s="34"/>
      <x:c r="D52" s="34"/>
      <x:c r="E52" s="34"/>
      <x:c r="F52" s="35"/>
      <x:c r="G52" s="1"/>
      <x:c r="H52" s="1"/>
      <x:c r="I52" s="1"/>
      <x:c r="J52" s="1"/>
      <x:c r="K52" s="1"/>
      <x:c r="L52" s="1"/>
    </x:row>
    <x:row r="53" ht="24" customHeight="1">
      <x:c r="A53" s="34"/>
      <x:c r="B53" s="34"/>
      <x:c r="C53" s="34"/>
      <x:c r="D53" s="34"/>
      <x:c r="E53" s="34"/>
      <x:c r="F53" s="35"/>
      <x:c r="G53" s="1"/>
      <x:c r="H53" s="1"/>
      <x:c r="I53" s="1"/>
      <x:c r="J53" s="1"/>
      <x:c r="K53" s="1"/>
      <x:c r="L53" s="1"/>
    </x:row>
    <x:row r="54" ht="24" customHeight="1">
      <x:c r="A54" s="34"/>
      <x:c r="B54" s="34"/>
      <x:c r="C54" s="34"/>
      <x:c r="D54" s="34"/>
      <x:c r="E54" s="34"/>
      <x:c r="F54" s="35"/>
      <x:c r="G54" s="1"/>
      <x:c r="H54" s="1"/>
      <x:c r="I54" s="1"/>
      <x:c r="J54" s="1"/>
      <x:c r="K54" s="1"/>
      <x:c r="L54" s="1"/>
    </x:row>
    <x:row r="55" ht="24" customHeight="1">
      <x:c r="A55" s="34"/>
      <x:c r="B55" s="34"/>
      <x:c r="C55" s="34"/>
      <x:c r="D55" s="34"/>
      <x:c r="E55" s="34"/>
      <x:c r="F55" s="35"/>
      <x:c r="G55" s="1"/>
      <x:c r="H55" s="1"/>
      <x:c r="I55" s="1"/>
      <x:c r="J55" s="1"/>
      <x:c r="K55" s="1"/>
      <x:c r="L55" s="1"/>
    </x:row>
    <x:row r="56" ht="24" customHeight="1">
      <x:c r="A56" s="34"/>
      <x:c r="B56" s="34"/>
      <x:c r="C56" s="34"/>
      <x:c r="D56" s="34"/>
      <x:c r="E56" s="34"/>
      <x:c r="F56" s="35"/>
      <x:c r="G56" s="1"/>
      <x:c r="H56" s="1"/>
      <x:c r="I56" s="1"/>
      <x:c r="J56" s="1"/>
      <x:c r="K56" s="1"/>
      <x:c r="L56" s="1"/>
    </x:row>
    <x:row r="57" ht="24" customHeight="1">
      <x:c r="A57" s="34"/>
      <x:c r="B57" s="34"/>
      <x:c r="C57" s="34"/>
      <x:c r="D57" s="34"/>
      <x:c r="E57" s="34"/>
      <x:c r="F57" s="35"/>
      <x:c r="G57" s="1"/>
      <x:c r="H57" s="1"/>
      <x:c r="I57" s="1"/>
      <x:c r="J57" s="1"/>
      <x:c r="K57" s="1"/>
      <x:c r="L57" s="1"/>
    </x:row>
    <x:row r="58" ht="24" customHeight="1">
      <x:c r="A58" s="34"/>
      <x:c r="B58" s="34"/>
      <x:c r="C58" s="34"/>
      <x:c r="D58" s="34"/>
      <x:c r="E58" s="34"/>
      <x:c r="F58" s="35"/>
      <x:c r="G58" s="1"/>
      <x:c r="H58" s="1"/>
      <x:c r="I58" s="1"/>
      <x:c r="J58" s="1"/>
      <x:c r="K58" s="1"/>
      <x:c r="L58" s="1"/>
    </x:row>
    <x:row r="59" ht="24" customHeight="1">
      <x:c r="A59" s="34"/>
      <x:c r="B59" s="34"/>
      <x:c r="C59" s="34"/>
      <x:c r="D59" s="34"/>
      <x:c r="E59" s="34"/>
      <x:c r="F59" s="35"/>
      <x:c r="G59" s="1"/>
      <x:c r="H59" s="1"/>
      <x:c r="I59" s="1"/>
      <x:c r="J59" s="1"/>
      <x:c r="K59" s="1"/>
      <x:c r="L59" s="1"/>
    </x:row>
    <x:row r="60" ht="24" customHeight="1">
      <x:c r="A60" s="34"/>
      <x:c r="B60" s="34"/>
      <x:c r="C60" s="34"/>
      <x:c r="D60" s="34"/>
      <x:c r="E60" s="34"/>
      <x:c r="F60" s="35"/>
      <x:c r="G60" s="1"/>
      <x:c r="H60" s="1"/>
      <x:c r="I60" s="1"/>
      <x:c r="J60" s="1"/>
      <x:c r="K60" s="1"/>
      <x:c r="L60" s="1"/>
    </x:row>
    <x:row r="61" ht="24" customHeight="1">
      <x:c r="A61" s="34"/>
      <x:c r="B61" s="34"/>
      <x:c r="C61" s="34"/>
      <x:c r="D61" s="34"/>
      <x:c r="E61" s="34"/>
      <x:c r="F61" s="35"/>
      <x:c r="G61" s="1"/>
      <x:c r="H61" s="1"/>
      <x:c r="I61" s="1"/>
      <x:c r="J61" s="1"/>
      <x:c r="K61" s="1"/>
      <x:c r="L61" s="1"/>
    </x:row>
    <x:row r="62" ht="24" customHeight="1">
      <x:c r="A62" s="34"/>
      <x:c r="B62" s="34"/>
      <x:c r="C62" s="34"/>
      <x:c r="D62" s="34"/>
      <x:c r="E62" s="34"/>
      <x:c r="F62" s="35"/>
      <x:c r="G62" s="1"/>
      <x:c r="H62" s="1"/>
      <x:c r="I62" s="1"/>
      <x:c r="J62" s="1"/>
      <x:c r="K62" s="1"/>
      <x:c r="L62" s="1"/>
    </x:row>
    <x:row r="63" ht="24" customHeight="1">
      <x:c r="A63" s="34"/>
      <x:c r="B63" s="34"/>
      <x:c r="C63" s="34"/>
      <x:c r="D63" s="34"/>
      <x:c r="E63" s="34"/>
      <x:c r="F63" s="35"/>
      <x:c r="G63" s="1"/>
      <x:c r="H63" s="1"/>
      <x:c r="I63" s="1"/>
      <x:c r="J63" s="1"/>
      <x:c r="K63" s="1"/>
      <x:c r="L63" s="1"/>
    </x:row>
    <x:row r="64" ht="24" customHeight="1">
      <x:c r="A64" s="34"/>
      <x:c r="B64" s="34"/>
      <x:c r="C64" s="34"/>
      <x:c r="D64" s="34"/>
      <x:c r="E64" s="34"/>
      <x:c r="F64" s="35"/>
      <x:c r="G64" s="1"/>
      <x:c r="H64" s="1"/>
      <x:c r="I64" s="1"/>
      <x:c r="J64" s="1"/>
      <x:c r="K64" s="1"/>
      <x:c r="L64" s="1"/>
    </x:row>
    <x:row r="65" ht="24" customHeight="1">
      <x:c r="A65" s="34"/>
      <x:c r="B65" s="34"/>
      <x:c r="C65" s="34"/>
      <x:c r="D65" s="34"/>
      <x:c r="E65" s="34"/>
      <x:c r="F65" s="35"/>
      <x:c r="G65" s="1"/>
      <x:c r="H65" s="1"/>
      <x:c r="I65" s="1"/>
      <x:c r="J65" s="1"/>
      <x:c r="K65" s="1"/>
      <x:c r="L65" s="1"/>
    </x:row>
    <x:row r="66" ht="24" customHeight="1">
      <x:c r="A66" s="34"/>
      <x:c r="B66" s="34"/>
      <x:c r="C66" s="34"/>
      <x:c r="D66" s="34"/>
      <x:c r="E66" s="34"/>
      <x:c r="F66" s="35"/>
      <x:c r="G66" s="1"/>
      <x:c r="H66" s="1"/>
      <x:c r="I66" s="1"/>
      <x:c r="J66" s="1"/>
      <x:c r="K66" s="1"/>
      <x:c r="L66" s="1"/>
    </x:row>
    <x:row r="67" ht="24" customHeight="1">
      <x:c r="A67" s="34"/>
      <x:c r="B67" s="34"/>
      <x:c r="C67" s="34"/>
      <x:c r="D67" s="34"/>
      <x:c r="E67" s="34"/>
      <x:c r="F67" s="35"/>
      <x:c r="G67" s="1"/>
      <x:c r="H67" s="1"/>
      <x:c r="I67" s="1"/>
      <x:c r="J67" s="1"/>
      <x:c r="K67" s="1"/>
      <x:c r="L67" s="1"/>
    </x:row>
    <x:row r="68" ht="24" customHeight="1">
      <x:c r="A68" s="34"/>
      <x:c r="B68" s="34"/>
      <x:c r="C68" s="34"/>
      <x:c r="D68" s="34"/>
      <x:c r="E68" s="34"/>
      <x:c r="F68" s="35"/>
      <x:c r="G68" s="1"/>
      <x:c r="H68" s="1"/>
      <x:c r="I68" s="1"/>
      <x:c r="J68" s="1"/>
      <x:c r="K68" s="1"/>
      <x:c r="L68" s="1"/>
    </x:row>
    <x:row r="69" ht="24" customHeight="1">
      <x:c r="A69" s="34"/>
      <x:c r="B69" s="34"/>
      <x:c r="C69" s="34"/>
      <x:c r="D69" s="34"/>
      <x:c r="E69" s="34"/>
      <x:c r="F69" s="35"/>
      <x:c r="G69" s="1"/>
      <x:c r="H69" s="1"/>
      <x:c r="I69" s="1"/>
      <x:c r="J69" s="1"/>
      <x:c r="K69" s="1"/>
      <x:c r="L69" s="1"/>
    </x:row>
    <x:row r="70" ht="24" customHeight="1">
      <x:c r="A70" s="34"/>
      <x:c r="B70" s="34"/>
      <x:c r="C70" s="34"/>
      <x:c r="D70" s="34"/>
      <x:c r="E70" s="34"/>
      <x:c r="F70" s="35"/>
      <x:c r="G70" s="1"/>
      <x:c r="H70" s="1"/>
      <x:c r="I70" s="1"/>
      <x:c r="J70" s="1"/>
      <x:c r="K70" s="1"/>
      <x:c r="L70" s="1"/>
    </x:row>
    <x:row r="71" ht="24" customHeight="1">
      <x:c r="A71" s="34"/>
      <x:c r="B71" s="34"/>
      <x:c r="C71" s="34"/>
      <x:c r="D71" s="34"/>
      <x:c r="E71" s="34"/>
      <x:c r="F71" s="35"/>
      <x:c r="G71" s="1"/>
      <x:c r="H71" s="1"/>
      <x:c r="I71" s="1"/>
      <x:c r="J71" s="1"/>
      <x:c r="K71" s="1"/>
      <x:c r="L71" s="1"/>
    </x:row>
    <x:row r="72" ht="24" customHeight="1">
      <x:c r="A72" s="34"/>
      <x:c r="B72" s="34"/>
      <x:c r="C72" s="34"/>
      <x:c r="D72" s="34"/>
      <x:c r="E72" s="34"/>
      <x:c r="F72" s="35"/>
      <x:c r="G72" s="1"/>
      <x:c r="H72" s="1"/>
      <x:c r="I72" s="1"/>
      <x:c r="J72" s="1"/>
      <x:c r="K72" s="1"/>
      <x:c r="L72" s="1"/>
    </x:row>
    <x:row r="73" ht="24" customHeight="1">
      <x:c r="A73" s="34"/>
      <x:c r="B73" s="34"/>
      <x:c r="C73" s="34"/>
      <x:c r="D73" s="34"/>
      <x:c r="E73" s="34"/>
      <x:c r="F73" s="35"/>
      <x:c r="G73" s="1"/>
      <x:c r="H73" s="1"/>
      <x:c r="I73" s="1"/>
      <x:c r="J73" s="1"/>
      <x:c r="K73" s="1"/>
      <x:c r="L73" s="1"/>
    </x:row>
    <x:row r="74" ht="24" customHeight="1">
      <x:c r="A74" s="34"/>
      <x:c r="B74" s="34"/>
      <x:c r="C74" s="34"/>
      <x:c r="D74" s="34"/>
      <x:c r="E74" s="34"/>
      <x:c r="F74" s="35"/>
      <x:c r="G74" s="1"/>
      <x:c r="H74" s="1"/>
      <x:c r="I74" s="1"/>
      <x:c r="J74" s="1"/>
      <x:c r="K74" s="1"/>
      <x:c r="L74" s="1"/>
    </x:row>
    <x:row r="75" ht="24" customHeight="1">
      <x:c r="A75" s="34"/>
      <x:c r="B75" s="34"/>
      <x:c r="C75" s="34"/>
      <x:c r="D75" s="34"/>
      <x:c r="E75" s="34"/>
      <x:c r="F75" s="35"/>
      <x:c r="G75" s="1"/>
      <x:c r="H75" s="1"/>
      <x:c r="I75" s="1"/>
      <x:c r="J75" s="1"/>
      <x:c r="K75" s="1"/>
      <x:c r="L75" s="1"/>
    </x:row>
    <x:row r="76" ht="24" customHeight="1">
      <x:c r="A76" s="34"/>
      <x:c r="B76" s="34"/>
      <x:c r="C76" s="34"/>
      <x:c r="D76" s="34"/>
      <x:c r="E76" s="34"/>
      <x:c r="F76" s="35"/>
      <x:c r="G76" s="1"/>
      <x:c r="H76" s="1"/>
      <x:c r="I76" s="1"/>
      <x:c r="J76" s="1"/>
      <x:c r="K76" s="1"/>
      <x:c r="L76" s="1"/>
    </x:row>
    <x:row r="77" ht="24" customHeight="1">
      <x:c r="A77" s="34"/>
      <x:c r="B77" s="34"/>
      <x:c r="C77" s="34"/>
      <x:c r="D77" s="34"/>
      <x:c r="E77" s="34"/>
      <x:c r="F77" s="35"/>
      <x:c r="G77" s="1"/>
      <x:c r="H77" s="1"/>
      <x:c r="I77" s="1"/>
      <x:c r="J77" s="1"/>
      <x:c r="K77" s="1"/>
      <x:c r="L77" s="1"/>
    </x:row>
    <x:row r="78" ht="24" customHeight="1">
      <x:c r="A78" s="34"/>
      <x:c r="B78" s="34"/>
      <x:c r="C78" s="34"/>
      <x:c r="D78" s="34"/>
      <x:c r="E78" s="34"/>
      <x:c r="F78" s="35"/>
      <x:c r="G78" s="1"/>
      <x:c r="H78" s="1"/>
      <x:c r="I78" s="1"/>
      <x:c r="J78" s="1"/>
      <x:c r="K78" s="1"/>
      <x:c r="L78" s="1"/>
    </x:row>
    <x:row r="79" ht="24" customHeight="1">
      <x:c r="A79" s="34"/>
      <x:c r="B79" s="34"/>
      <x:c r="C79" s="34"/>
      <x:c r="D79" s="34"/>
      <x:c r="E79" s="34"/>
      <x:c r="F79" s="35"/>
      <x:c r="G79" s="1"/>
      <x:c r="H79" s="1"/>
      <x:c r="I79" s="1"/>
      <x:c r="J79" s="1"/>
      <x:c r="K79" s="1"/>
      <x:c r="L79" s="1"/>
    </x:row>
    <x:row r="80" ht="24" customHeight="1">
      <x:c r="A80" s="34"/>
      <x:c r="B80" s="34"/>
      <x:c r="C80" s="34"/>
      <x:c r="D80" s="34"/>
      <x:c r="E80" s="34"/>
      <x:c r="F80" s="35"/>
      <x:c r="G80" s="1"/>
      <x:c r="H80" s="1"/>
      <x:c r="I80" s="1"/>
      <x:c r="J80" s="1"/>
      <x:c r="K80" s="1"/>
      <x:c r="L80" s="1"/>
    </x:row>
    <x:row r="81" ht="24" customHeight="1">
      <x:c r="A81" s="34"/>
      <x:c r="B81" s="34"/>
      <x:c r="C81" s="34"/>
      <x:c r="D81" s="34"/>
      <x:c r="E81" s="34"/>
      <x:c r="F81" s="35"/>
    </x:row>
    <x:row r="82" ht="24" customHeight="1">
      <x:c r="A82" s="34"/>
      <x:c r="B82" s="34"/>
      <x:c r="C82" s="34"/>
      <x:c r="D82" s="34"/>
      <x:c r="E82" s="34"/>
      <x:c r="F82" s="35"/>
    </x:row>
    <x:row r="83" ht="24" customHeight="1">
      <x:c r="A83" s="34"/>
      <x:c r="B83" s="34"/>
      <x:c r="C83" s="34"/>
      <x:c r="D83" s="34"/>
      <x:c r="E83" s="34"/>
      <x:c r="F83" s="35"/>
    </x:row>
    <x:row r="84" ht="24" customHeight="1">
      <x:c r="A84" s="34"/>
      <x:c r="B84" s="34"/>
      <x:c r="C84" s="34"/>
      <x:c r="D84" s="34"/>
      <x:c r="E84" s="34"/>
      <x:c r="F84" s="35"/>
    </x:row>
    <x:row r="85" ht="24" customHeight="1">
      <x:c r="A85" s="34"/>
      <x:c r="B85" s="34"/>
      <x:c r="C85" s="34"/>
      <x:c r="D85" s="34"/>
      <x:c r="E85" s="34"/>
      <x:c r="F85" s="35"/>
    </x:row>
    <x:row r="86" ht="24" customHeight="1">
      <x:c r="A86" s="34"/>
      <x:c r="B86" s="34"/>
      <x:c r="C86" s="34"/>
      <x:c r="D86" s="34"/>
      <x:c r="E86" s="34"/>
      <x:c r="F86" s="35"/>
    </x:row>
    <x:row r="87" ht="24" customHeight="1">
      <x:c r="A87" s="34"/>
      <x:c r="B87" s="34"/>
      <x:c r="C87" s="34"/>
      <x:c r="D87" s="34"/>
      <x:c r="E87" s="34"/>
      <x:c r="F87" s="35"/>
    </x:row>
    <x:row r="88" ht="24" customHeight="1">
      <x:c r="A88" s="34"/>
      <x:c r="B88" s="34"/>
      <x:c r="C88" s="34"/>
      <x:c r="D88" s="34"/>
      <x:c r="E88" s="34"/>
      <x:c r="F88" s="35"/>
    </x:row>
    <x:row r="89" ht="24" customHeight="1">
      <x:c r="A89" s="34"/>
      <x:c r="B89" s="34"/>
      <x:c r="C89" s="34"/>
      <x:c r="D89" s="34"/>
      <x:c r="E89" s="34"/>
      <x:c r="F89" s="35"/>
    </x:row>
    <x:row r="90" ht="24" customHeight="1">
      <x:c r="A90" s="34"/>
      <x:c r="B90" s="34"/>
      <x:c r="C90" s="34"/>
      <x:c r="D90" s="34"/>
      <x:c r="E90" s="34"/>
      <x:c r="F90" s="35"/>
    </x:row>
    <x:row r="91" ht="24" customHeight="1">
      <x:c r="A91" s="34"/>
      <x:c r="B91" s="34"/>
      <x:c r="C91" s="34"/>
      <x:c r="D91" s="34"/>
      <x:c r="E91" s="34"/>
      <x:c r="F91" s="35"/>
    </x:row>
    <x:row r="92" ht="24" customHeight="1">
      <x:c r="A92" s="34"/>
      <x:c r="B92" s="34"/>
      <x:c r="C92" s="34"/>
      <x:c r="D92" s="34"/>
      <x:c r="E92" s="34"/>
      <x:c r="F92" s="35"/>
    </x:row>
    <x:row r="93" ht="24" customHeight="1">
      <x:c r="A93" s="34"/>
      <x:c r="B93" s="34"/>
      <x:c r="C93" s="34"/>
      <x:c r="D93" s="34"/>
      <x:c r="E93" s="34"/>
      <x:c r="F93" s="35"/>
    </x:row>
    <x:row r="94" ht="24" customHeight="1">
      <x:c r="A94" s="34"/>
      <x:c r="B94" s="34"/>
      <x:c r="C94" s="34"/>
      <x:c r="D94" s="34"/>
      <x:c r="E94" s="34"/>
      <x:c r="F94" s="35"/>
    </x:row>
    <x:row r="95" ht="24" customHeight="1">
      <x:c r="A95" s="34"/>
      <x:c r="B95" s="34"/>
      <x:c r="C95" s="34"/>
      <x:c r="D95" s="34"/>
      <x:c r="E95" s="34"/>
      <x:c r="F95" s="35"/>
    </x:row>
    <x:row r="96" ht="24" customHeight="1">
      <x:c r="A96" s="34"/>
      <x:c r="B96" s="34"/>
      <x:c r="C96" s="34"/>
      <x:c r="D96" s="34"/>
      <x:c r="E96" s="34"/>
      <x:c r="F96" s="35"/>
    </x:row>
    <x:row r="97" ht="24" customHeight="1">
      <x:c r="A97" s="34"/>
      <x:c r="B97" s="34"/>
      <x:c r="C97" s="34"/>
      <x:c r="D97" s="34"/>
      <x:c r="E97" s="34"/>
      <x:c r="F97" s="35"/>
    </x:row>
    <x:row r="98" ht="24" customHeight="1">
      <x:c r="A98" s="34"/>
      <x:c r="B98" s="34"/>
      <x:c r="C98" s="34"/>
      <x:c r="D98" s="34"/>
      <x:c r="E98" s="34"/>
      <x:c r="F98" s="35"/>
    </x:row>
    <x:row r="99" ht="24" customHeight="1">
      <x:c r="A99" s="34"/>
      <x:c r="B99" s="34"/>
      <x:c r="C99" s="34"/>
      <x:c r="D99" s="34"/>
      <x:c r="E99" s="34"/>
      <x:c r="F99" s="35"/>
    </x:row>
    <x:row r="100" ht="24" customHeight="1">
      <x:c r="A100" s="34"/>
      <x:c r="B100" s="34"/>
      <x:c r="C100" s="34"/>
      <x:c r="D100" s="34"/>
      <x:c r="E100" s="34"/>
      <x:c r="F100" s="35"/>
    </x:row>
    <x:row r="101" ht="24" customHeight="1">
      <x:c r="A101" s="34"/>
      <x:c r="B101" s="34"/>
      <x:c r="C101" s="34"/>
      <x:c r="D101" s="34"/>
      <x:c r="E101" s="34"/>
      <x:c r="F101" s="35"/>
    </x:row>
    <x:row r="102" ht="24" customHeight="1">
      <x:c r="A102" s="34"/>
      <x:c r="B102" s="34"/>
      <x:c r="C102" s="34"/>
      <x:c r="D102" s="34"/>
      <x:c r="E102" s="34"/>
      <x:c r="F102" s="35"/>
    </x:row>
    <x:row r="103" ht="24" customHeight="1">
      <x:c r="A103" s="34"/>
      <x:c r="B103" s="34"/>
      <x:c r="C103" s="34"/>
      <x:c r="D103" s="34"/>
      <x:c r="E103" s="34"/>
      <x:c r="F103" s="35"/>
    </x:row>
    <x:row r="104" ht="24" customHeight="1">
      <x:c r="A104" s="34"/>
      <x:c r="B104" s="34"/>
      <x:c r="C104" s="34"/>
      <x:c r="D104" s="34"/>
      <x:c r="E104" s="34"/>
      <x:c r="F104" s="35"/>
    </x:row>
    <x:row r="105" ht="24" customHeight="1">
      <x:c r="A105" s="34"/>
      <x:c r="B105" s="34"/>
      <x:c r="C105" s="34"/>
      <x:c r="D105" s="34"/>
      <x:c r="E105" s="34"/>
      <x:c r="F105" s="35"/>
    </x:row>
    <x:row r="106" ht="24" customHeight="1">
      <x:c r="A106" s="34"/>
      <x:c r="B106" s="34"/>
      <x:c r="C106" s="34"/>
      <x:c r="D106" s="34"/>
      <x:c r="E106" s="34"/>
      <x:c r="F106" s="35"/>
    </x:row>
    <x:row r="107" ht="24" customHeight="1">
      <x:c r="A107" s="34"/>
      <x:c r="B107" s="34"/>
      <x:c r="C107" s="34"/>
      <x:c r="D107" s="34"/>
      <x:c r="E107" s="34"/>
      <x:c r="F107" s="35"/>
    </x:row>
    <x:row r="108" ht="24" customHeight="1">
      <x:c r="A108" s="34"/>
      <x:c r="B108" s="34"/>
      <x:c r="C108" s="34"/>
      <x:c r="D108" s="34"/>
      <x:c r="E108" s="34"/>
      <x:c r="F108" s="35"/>
    </x:row>
    <x:row r="109" ht="24" customHeight="1">
      <x:c r="A109" s="34"/>
      <x:c r="B109" s="34"/>
      <x:c r="C109" s="34"/>
      <x:c r="D109" s="34"/>
      <x:c r="E109" s="34"/>
      <x:c r="F109" s="35"/>
    </x:row>
    <x:row r="110" ht="24" customHeight="1">
      <x:c r="A110" s="34"/>
      <x:c r="B110" s="34"/>
      <x:c r="C110" s="34"/>
      <x:c r="D110" s="34"/>
      <x:c r="E110" s="34"/>
      <x:c r="F110" s="35"/>
    </x:row>
    <x:row r="111" ht="24" customHeight="1">
      <x:c r="A111" s="34"/>
      <x:c r="B111" s="34"/>
      <x:c r="C111" s="34"/>
      <x:c r="D111" s="34"/>
      <x:c r="E111" s="34"/>
      <x:c r="F111" s="35"/>
    </x:row>
    <x:row r="112" ht="24" customHeight="1">
      <x:c r="A112" s="34"/>
      <x:c r="B112" s="34"/>
      <x:c r="C112" s="34"/>
      <x:c r="D112" s="34"/>
      <x:c r="E112" s="34"/>
      <x:c r="F112" s="35"/>
    </x:row>
    <x:row r="113" ht="24" customHeight="1">
      <x:c r="A113" s="34"/>
      <x:c r="B113" s="34"/>
      <x:c r="C113" s="34"/>
      <x:c r="D113" s="34"/>
      <x:c r="E113" s="34"/>
      <x:c r="F113" s="35"/>
    </x:row>
    <x:row r="114" ht="24" customHeight="1">
      <x:c r="A114" s="34"/>
      <x:c r="B114" s="34"/>
      <x:c r="C114" s="34"/>
      <x:c r="D114" s="34"/>
      <x:c r="E114" s="34"/>
      <x:c r="F114" s="35"/>
    </x:row>
    <x:row r="115" ht="24" customHeight="1">
      <x:c r="A115" s="34"/>
      <x:c r="B115" s="34"/>
      <x:c r="C115" s="34"/>
      <x:c r="D115" s="34"/>
      <x:c r="E115" s="34"/>
      <x:c r="F115" s="35"/>
    </x:row>
    <x:row r="116" ht="24" customHeight="1">
      <x:c r="A116" s="34"/>
      <x:c r="B116" s="34"/>
      <x:c r="C116" s="34"/>
      <x:c r="D116" s="34"/>
      <x:c r="E116" s="34"/>
      <x:c r="F116" s="35"/>
    </x:row>
    <x:row r="117" ht="24" customHeight="1">
      <x:c r="A117" s="34"/>
      <x:c r="B117" s="34"/>
      <x:c r="C117" s="34"/>
      <x:c r="D117" s="34"/>
      <x:c r="E117" s="34"/>
      <x:c r="F117" s="35"/>
    </x:row>
    <x:row r="118" ht="24" customHeight="1">
      <x:c r="A118" s="34"/>
      <x:c r="B118" s="34"/>
      <x:c r="C118" s="34"/>
      <x:c r="D118" s="34"/>
      <x:c r="E118" s="34"/>
      <x:c r="F118" s="35"/>
    </x:row>
    <x:row r="119" ht="24" customHeight="1">
      <x:c r="A119" s="34"/>
      <x:c r="B119" s="34"/>
      <x:c r="C119" s="34"/>
      <x:c r="D119" s="34"/>
      <x:c r="E119" s="34"/>
      <x:c r="F119" s="35"/>
    </x:row>
    <x:row r="120" ht="24" customHeight="1">
      <x:c r="A120" s="34"/>
      <x:c r="B120" s="34"/>
      <x:c r="C120" s="34"/>
      <x:c r="D120" s="34"/>
      <x:c r="E120" s="34"/>
      <x:c r="F120" s="35"/>
    </x:row>
    <x:row r="121" ht="24" customHeight="1">
      <x:c r="A121" s="34"/>
      <x:c r="B121" s="34"/>
      <x:c r="C121" s="34"/>
      <x:c r="D121" s="34"/>
      <x:c r="E121" s="34"/>
      <x:c r="F121" s="35"/>
    </x:row>
    <x:row r="122" ht="24" customHeight="1">
      <x:c r="A122" s="34"/>
      <x:c r="B122" s="34"/>
      <x:c r="C122" s="34"/>
      <x:c r="D122" s="34"/>
      <x:c r="E122" s="34"/>
      <x:c r="F122" s="35"/>
    </x:row>
    <x:row r="123" ht="24" customHeight="1">
      <x:c r="A123" s="34"/>
      <x:c r="B123" s="34"/>
      <x:c r="C123" s="34"/>
      <x:c r="D123" s="34"/>
      <x:c r="E123" s="34"/>
      <x:c r="F123" s="35"/>
    </x:row>
    <x:row r="124" ht="24" customHeight="1">
      <x:c r="A124" s="34"/>
      <x:c r="B124" s="34"/>
      <x:c r="C124" s="34"/>
      <x:c r="D124" s="34"/>
      <x:c r="E124" s="34"/>
      <x:c r="F124" s="35"/>
    </x:row>
    <x:row r="125" ht="24" customHeight="1">
      <x:c r="A125" s="34"/>
      <x:c r="B125" s="34"/>
      <x:c r="C125" s="34"/>
      <x:c r="D125" s="34"/>
      <x:c r="E125" s="34"/>
      <x:c r="F125" s="35"/>
    </x:row>
    <x:row r="126" ht="24" customHeight="1">
      <x:c r="A126" s="34"/>
      <x:c r="B126" s="34"/>
      <x:c r="C126" s="34"/>
      <x:c r="D126" s="34"/>
      <x:c r="E126" s="34"/>
      <x:c r="F126" s="35"/>
    </x:row>
    <x:row r="127" ht="24" customHeight="1">
      <x:c r="A127" s="34"/>
      <x:c r="B127" s="34"/>
      <x:c r="C127" s="34"/>
      <x:c r="D127" s="34"/>
      <x:c r="E127" s="34"/>
      <x:c r="F127" s="35"/>
    </x:row>
    <x:row r="128" ht="24" customHeight="1">
      <x:c r="A128" s="34"/>
      <x:c r="B128" s="34"/>
      <x:c r="C128" s="34"/>
      <x:c r="D128" s="34"/>
      <x:c r="E128" s="34"/>
      <x:c r="F128" s="35"/>
    </x:row>
    <x:row r="129" ht="24" customHeight="1">
      <x:c r="A129" s="34"/>
      <x:c r="B129" s="34"/>
      <x:c r="C129" s="34"/>
      <x:c r="D129" s="34"/>
      <x:c r="E129" s="34"/>
      <x:c r="F129" s="35"/>
    </x:row>
    <x:row r="130" ht="24" customHeight="1">
      <x:c r="A130" s="34"/>
      <x:c r="B130" s="34"/>
      <x:c r="C130" s="34"/>
      <x:c r="D130" s="34"/>
      <x:c r="E130" s="34"/>
      <x:c r="F130" s="35"/>
    </x:row>
    <x:row r="131" ht="24" customHeight="1">
      <x:c r="A131" s="34"/>
      <x:c r="B131" s="34"/>
      <x:c r="C131" s="34"/>
      <x:c r="D131" s="34"/>
      <x:c r="E131" s="34"/>
      <x:c r="F131" s="35"/>
    </x:row>
    <x:row r="132" ht="24" customHeight="1">
      <x:c r="A132" s="34"/>
      <x:c r="B132" s="34"/>
      <x:c r="C132" s="34"/>
      <x:c r="D132" s="34"/>
      <x:c r="E132" s="34"/>
      <x:c r="F132" s="35"/>
    </x:row>
    <x:row r="133" ht="24" customHeight="1">
      <x:c r="A133" s="34"/>
      <x:c r="B133" s="34"/>
      <x:c r="C133" s="34"/>
      <x:c r="D133" s="34"/>
      <x:c r="E133" s="34"/>
      <x:c r="F133" s="35"/>
    </x:row>
    <x:row r="134" ht="24" customHeight="1">
      <x:c r="A134" s="34"/>
      <x:c r="B134" s="34"/>
      <x:c r="C134" s="34"/>
      <x:c r="D134" s="34"/>
      <x:c r="E134" s="34"/>
      <x:c r="F134" s="35"/>
    </x:row>
    <x:row r="135" ht="24" customHeight="1">
      <x:c r="A135" s="34"/>
      <x:c r="B135" s="34"/>
      <x:c r="C135" s="34"/>
      <x:c r="D135" s="34"/>
      <x:c r="E135" s="34"/>
      <x:c r="F135" s="35"/>
    </x:row>
    <x:row r="136" ht="24" customHeight="1">
      <x:c r="A136" s="34"/>
      <x:c r="B136" s="34"/>
      <x:c r="C136" s="34"/>
      <x:c r="D136" s="34"/>
      <x:c r="E136" s="34"/>
      <x:c r="F136" s="35"/>
    </x:row>
    <x:row r="137" ht="24" customHeight="1">
      <x:c r="A137" s="34"/>
      <x:c r="B137" s="34"/>
      <x:c r="C137" s="34"/>
      <x:c r="D137" s="34"/>
      <x:c r="E137" s="34"/>
      <x:c r="F137" s="35"/>
    </x:row>
    <x:row r="138" ht="24" customHeight="1">
      <x:c r="A138" s="34"/>
      <x:c r="B138" s="34"/>
      <x:c r="C138" s="34"/>
      <x:c r="D138" s="34"/>
      <x:c r="E138" s="34"/>
      <x:c r="F138" s="35"/>
    </x:row>
    <x:row r="139" ht="24" customHeight="1">
      <x:c r="A139" s="34"/>
      <x:c r="B139" s="34"/>
      <x:c r="C139" s="34"/>
      <x:c r="D139" s="34"/>
      <x:c r="E139" s="34"/>
      <x:c r="F139" s="35"/>
    </x:row>
    <x:row r="140" ht="24" customHeight="1">
      <x:c r="A140" s="34"/>
      <x:c r="B140" s="34"/>
      <x:c r="C140" s="34"/>
      <x:c r="D140" s="34"/>
      <x:c r="E140" s="34"/>
      <x:c r="F140" s="35"/>
    </x:row>
    <x:row r="141" ht="24" customHeight="1">
      <x:c r="A141" s="34"/>
      <x:c r="B141" s="34"/>
      <x:c r="C141" s="34"/>
      <x:c r="D141" s="34"/>
      <x:c r="E141" s="34"/>
      <x:c r="F141" s="35"/>
    </x:row>
    <x:row r="142" ht="24" customHeight="1">
      <x:c r="A142" s="34"/>
      <x:c r="B142" s="34"/>
      <x:c r="C142" s="34"/>
      <x:c r="D142" s="34"/>
      <x:c r="E142" s="34"/>
      <x:c r="F142" s="35"/>
    </x:row>
    <x:row r="143" ht="24" customHeight="1">
      <x:c r="A143" s="34"/>
      <x:c r="B143" s="34"/>
      <x:c r="C143" s="34"/>
      <x:c r="D143" s="34"/>
      <x:c r="E143" s="34"/>
      <x:c r="F143" s="35"/>
    </x:row>
    <x:row r="144" ht="24" customHeight="1">
      <x:c r="A144" s="34"/>
      <x:c r="B144" s="34"/>
      <x:c r="C144" s="34"/>
      <x:c r="D144" s="34"/>
      <x:c r="E144" s="34"/>
      <x:c r="F144" s="35"/>
    </x:row>
    <x:row r="145" ht="24" customHeight="1">
      <x:c r="A145" s="34"/>
      <x:c r="B145" s="34"/>
      <x:c r="C145" s="34"/>
      <x:c r="D145" s="34"/>
      <x:c r="E145" s="34"/>
      <x:c r="F145" s="35"/>
    </x:row>
    <x:row r="146" ht="24" customHeight="1">
      <x:c r="A146" s="34"/>
      <x:c r="B146" s="34"/>
      <x:c r="C146" s="34"/>
      <x:c r="D146" s="34"/>
      <x:c r="E146" s="34"/>
      <x:c r="F146" s="35"/>
    </x:row>
    <x:row r="147" ht="24" customHeight="1">
      <x:c r="A147" s="34"/>
      <x:c r="B147" s="34"/>
      <x:c r="C147" s="34"/>
      <x:c r="D147" s="34"/>
      <x:c r="E147" s="34"/>
      <x:c r="F147" s="35"/>
    </x:row>
    <x:row r="148" ht="24" customHeight="1">
      <x:c r="A148" s="34"/>
      <x:c r="B148" s="34"/>
      <x:c r="C148" s="34"/>
      <x:c r="D148" s="34"/>
      <x:c r="E148" s="34"/>
      <x:c r="F148" s="35"/>
    </x:row>
    <x:row r="149" ht="24" customHeight="1">
      <x:c r="A149" s="34"/>
      <x:c r="B149" s="34"/>
      <x:c r="C149" s="34"/>
      <x:c r="D149" s="34"/>
      <x:c r="E149" s="34"/>
      <x:c r="F149" s="35"/>
    </x:row>
    <x:row r="150" ht="24" customHeight="1">
      <x:c r="A150" s="34"/>
      <x:c r="B150" s="34"/>
      <x:c r="C150" s="34"/>
      <x:c r="D150" s="34"/>
      <x:c r="E150" s="34"/>
      <x:c r="F150" s="35"/>
    </x:row>
    <x:row r="151" ht="24" customHeight="1">
      <x:c r="A151" s="34"/>
      <x:c r="B151" s="34"/>
      <x:c r="C151" s="34"/>
      <x:c r="D151" s="34"/>
      <x:c r="E151" s="34"/>
      <x:c r="F151" s="35"/>
    </x:row>
    <x:row r="152" ht="24" customHeight="1">
      <x:c r="A152" s="34"/>
      <x:c r="B152" s="34"/>
      <x:c r="C152" s="34"/>
      <x:c r="D152" s="34"/>
      <x:c r="E152" s="34"/>
      <x:c r="F152" s="35"/>
    </x:row>
    <x:row r="153" ht="24" customHeight="1">
      <x:c r="A153" s="34"/>
      <x:c r="B153" s="34"/>
      <x:c r="C153" s="34"/>
      <x:c r="D153" s="34"/>
      <x:c r="E153" s="34"/>
      <x:c r="F153" s="35"/>
    </x:row>
    <x:row r="154" ht="24" customHeight="1">
      <x:c r="A154" s="34"/>
      <x:c r="B154" s="34"/>
      <x:c r="C154" s="34"/>
      <x:c r="D154" s="34"/>
      <x:c r="E154" s="34"/>
      <x:c r="F154" s="35"/>
    </x:row>
    <x:row r="155" ht="24" customHeight="1">
      <x:c r="A155" s="34"/>
      <x:c r="B155" s="34"/>
      <x:c r="C155" s="34"/>
      <x:c r="D155" s="34"/>
      <x:c r="E155" s="34"/>
      <x:c r="F155" s="35"/>
    </x:row>
    <x:row r="156" ht="24" customHeight="1">
      <x:c r="A156" s="34"/>
      <x:c r="B156" s="34"/>
      <x:c r="C156" s="34"/>
      <x:c r="D156" s="34"/>
      <x:c r="E156" s="34"/>
      <x:c r="F156" s="35"/>
    </x:row>
    <x:row r="157" ht="24" customHeight="1">
      <x:c r="A157" s="34"/>
      <x:c r="B157" s="34"/>
      <x:c r="C157" s="34"/>
      <x:c r="D157" s="34"/>
      <x:c r="E157" s="34"/>
      <x:c r="F157" s="35"/>
    </x:row>
    <x:row r="158" ht="24" customHeight="1">
      <x:c r="A158" s="34"/>
      <x:c r="B158" s="34"/>
      <x:c r="C158" s="34"/>
      <x:c r="D158" s="34"/>
      <x:c r="E158" s="34"/>
      <x:c r="F158" s="35"/>
    </x:row>
    <x:row r="159" ht="24" customHeight="1">
      <x:c r="A159" s="34"/>
      <x:c r="B159" s="34"/>
      <x:c r="C159" s="34"/>
      <x:c r="D159" s="34"/>
      <x:c r="E159" s="34"/>
      <x:c r="F159" s="35"/>
    </x:row>
    <x:row r="160" ht="24" customHeight="1">
      <x:c r="A160" s="34"/>
      <x:c r="B160" s="34"/>
      <x:c r="C160" s="34"/>
      <x:c r="D160" s="34"/>
      <x:c r="E160" s="34"/>
      <x:c r="F160" s="35"/>
    </x:row>
    <x:row r="161" ht="24" customHeight="1">
      <x:c r="A161" s="34"/>
      <x:c r="B161" s="34"/>
      <x:c r="C161" s="34"/>
      <x:c r="D161" s="34"/>
      <x:c r="E161" s="34"/>
      <x:c r="F161" s="35"/>
    </x:row>
    <x:row r="162" ht="24" customHeight="1">
      <x:c r="A162" s="34"/>
      <x:c r="B162" s="34"/>
      <x:c r="C162" s="34"/>
      <x:c r="D162" s="34"/>
      <x:c r="E162" s="34"/>
      <x:c r="F162" s="35"/>
    </x:row>
    <x:row r="163" ht="24" customHeight="1">
      <x:c r="A163" s="34"/>
      <x:c r="B163" s="34"/>
      <x:c r="C163" s="34"/>
      <x:c r="D163" s="34"/>
      <x:c r="E163" s="34"/>
      <x:c r="F163" s="35"/>
    </x:row>
    <x:row r="164" ht="24" customHeight="1">
      <x:c r="A164" s="34"/>
      <x:c r="B164" s="34"/>
      <x:c r="C164" s="34"/>
      <x:c r="D164" s="34"/>
      <x:c r="E164" s="34"/>
      <x:c r="F164" s="35"/>
    </x:row>
    <x:row r="165" ht="24" customHeight="1">
      <x:c r="A165" s="34"/>
      <x:c r="B165" s="34"/>
      <x:c r="C165" s="34"/>
      <x:c r="D165" s="34"/>
      <x:c r="E165" s="34"/>
      <x:c r="F165" s="35"/>
    </x:row>
    <x:row r="166" ht="24" customHeight="1">
      <x:c r="A166" s="34"/>
      <x:c r="B166" s="34"/>
      <x:c r="C166" s="34"/>
      <x:c r="D166" s="34"/>
      <x:c r="E166" s="34"/>
      <x:c r="F166" s="35"/>
    </x:row>
    <x:row r="167" ht="24" customHeight="1">
      <x:c r="A167" s="34"/>
      <x:c r="B167" s="34"/>
      <x:c r="C167" s="34"/>
      <x:c r="D167" s="34"/>
      <x:c r="E167" s="34"/>
      <x:c r="F167" s="35"/>
    </x:row>
    <x:row r="168" ht="24" customHeight="1">
      <x:c r="A168" s="34"/>
      <x:c r="B168" s="34"/>
      <x:c r="C168" s="34"/>
      <x:c r="D168" s="34"/>
      <x:c r="E168" s="34"/>
      <x:c r="F168" s="35"/>
    </x:row>
    <x:row r="169" ht="24" customHeight="1">
      <x:c r="A169" s="34"/>
      <x:c r="B169" s="34"/>
      <x:c r="C169" s="34"/>
      <x:c r="D169" s="34"/>
      <x:c r="E169" s="34"/>
      <x:c r="F169" s="35"/>
    </x:row>
    <x:row r="170" ht="24" customHeight="1">
      <x:c r="A170" s="34"/>
      <x:c r="B170" s="34"/>
      <x:c r="C170" s="34"/>
      <x:c r="D170" s="34"/>
      <x:c r="E170" s="34"/>
      <x:c r="F170" s="35"/>
    </x:row>
    <x:row r="171" ht="24" customHeight="1">
      <x:c r="A171" s="34"/>
      <x:c r="B171" s="34"/>
      <x:c r="C171" s="34"/>
      <x:c r="D171" s="34"/>
      <x:c r="E171" s="34"/>
      <x:c r="F171" s="35"/>
    </x:row>
    <x:row r="172" ht="24" customHeight="1">
      <x:c r="A172" s="34"/>
      <x:c r="B172" s="34"/>
      <x:c r="C172" s="34"/>
      <x:c r="D172" s="34"/>
      <x:c r="E172" s="34"/>
      <x:c r="F172" s="35"/>
    </x:row>
    <x:row r="173" ht="24" customHeight="1">
      <x:c r="A173" s="34"/>
      <x:c r="B173" s="34"/>
      <x:c r="C173" s="34"/>
      <x:c r="D173" s="34"/>
      <x:c r="E173" s="34"/>
      <x:c r="F173" s="35"/>
    </x:row>
    <x:row r="174" ht="24" customHeight="1">
      <x:c r="A174" s="34"/>
      <x:c r="B174" s="34"/>
      <x:c r="C174" s="34"/>
      <x:c r="D174" s="34"/>
      <x:c r="E174" s="34"/>
      <x:c r="F174" s="35"/>
    </x:row>
    <x:row r="175" ht="24" customHeight="1">
      <x:c r="A175" s="34"/>
      <x:c r="B175" s="34"/>
      <x:c r="C175" s="34"/>
      <x:c r="D175" s="34"/>
      <x:c r="E175" s="34"/>
      <x:c r="F175" s="35"/>
    </x:row>
    <x:row r="176" ht="24" customHeight="1">
      <x:c r="A176" s="34"/>
      <x:c r="B176" s="34"/>
      <x:c r="C176" s="34"/>
      <x:c r="D176" s="34"/>
      <x:c r="E176" s="34"/>
      <x:c r="F176" s="35"/>
    </x:row>
    <x:row r="177" ht="24" customHeight="1">
      <x:c r="A177" s="34"/>
      <x:c r="B177" s="34"/>
      <x:c r="C177" s="34"/>
      <x:c r="D177" s="34"/>
      <x:c r="E177" s="34"/>
      <x:c r="F177" s="35"/>
    </x:row>
    <x:row r="178" ht="24" customHeight="1">
      <x:c r="A178" s="34"/>
      <x:c r="B178" s="34"/>
      <x:c r="C178" s="34"/>
      <x:c r="D178" s="34"/>
      <x:c r="E178" s="34"/>
      <x:c r="F178" s="35"/>
    </x:row>
    <x:row r="179" ht="24" customHeight="1">
      <x:c r="A179" s="34"/>
      <x:c r="B179" s="34"/>
      <x:c r="C179" s="34"/>
      <x:c r="D179" s="34"/>
      <x:c r="E179" s="34"/>
      <x:c r="F179" s="35"/>
    </x:row>
    <x:row r="180" ht="24" customHeight="1">
      <x:c r="A180" s="34"/>
      <x:c r="B180" s="34"/>
      <x:c r="C180" s="34"/>
      <x:c r="D180" s="34"/>
      <x:c r="E180" s="34"/>
      <x:c r="F180" s="35"/>
    </x:row>
    <x:row r="181" ht="24" customHeight="1">
      <x:c r="A181" s="34"/>
      <x:c r="B181" s="34"/>
      <x:c r="C181" s="34"/>
      <x:c r="D181" s="34"/>
      <x:c r="E181" s="34"/>
      <x:c r="F181" s="35"/>
    </x:row>
    <x:row r="182" ht="24" customHeight="1">
      <x:c r="A182" s="34"/>
      <x:c r="B182" s="34"/>
      <x:c r="C182" s="34"/>
      <x:c r="D182" s="34"/>
      <x:c r="E182" s="34"/>
      <x:c r="F182" s="35"/>
    </x:row>
    <x:row r="183" ht="24" customHeight="1">
      <x:c r="A183" s="34"/>
      <x:c r="B183" s="34"/>
      <x:c r="C183" s="34"/>
      <x:c r="D183" s="34"/>
      <x:c r="E183" s="34"/>
      <x:c r="F183" s="35"/>
    </x:row>
    <x:row r="184" ht="24" customHeight="1">
      <x:c r="A184" s="34"/>
      <x:c r="B184" s="34"/>
      <x:c r="C184" s="34"/>
      <x:c r="D184" s="34"/>
      <x:c r="E184" s="34"/>
      <x:c r="F184" s="35"/>
    </x:row>
    <x:row r="185" ht="24" customHeight="1">
      <x:c r="A185" s="34"/>
      <x:c r="B185" s="34"/>
      <x:c r="C185" s="34"/>
      <x:c r="D185" s="34"/>
      <x:c r="E185" s="34"/>
      <x:c r="F185" s="35"/>
    </x:row>
    <x:row r="186" ht="24" customHeight="1">
      <x:c r="A186" s="34"/>
      <x:c r="B186" s="34"/>
      <x:c r="C186" s="34"/>
      <x:c r="D186" s="34"/>
      <x:c r="E186" s="34"/>
      <x:c r="F186" s="35"/>
    </x:row>
    <x:row r="187" ht="24" customHeight="1">
      <x:c r="A187" s="34"/>
      <x:c r="B187" s="34"/>
      <x:c r="C187" s="34"/>
      <x:c r="D187" s="34"/>
      <x:c r="E187" s="34"/>
      <x:c r="F187" s="35"/>
    </x:row>
    <x:row r="188" ht="24" customHeight="1">
      <x:c r="A188" s="34"/>
      <x:c r="B188" s="34"/>
      <x:c r="C188" s="34"/>
      <x:c r="D188" s="34"/>
      <x:c r="E188" s="34"/>
      <x:c r="F188" s="35"/>
    </x:row>
    <x:row r="189" ht="24" customHeight="1">
      <x:c r="A189" s="34"/>
      <x:c r="B189" s="34"/>
      <x:c r="C189" s="34"/>
      <x:c r="D189" s="34"/>
      <x:c r="E189" s="34"/>
      <x:c r="F189" s="35"/>
    </x:row>
    <x:row r="190" ht="24" customHeight="1">
      <x:c r="A190" s="34"/>
      <x:c r="B190" s="34"/>
      <x:c r="C190" s="34"/>
      <x:c r="D190" s="34"/>
      <x:c r="E190" s="34"/>
      <x:c r="F190" s="35"/>
    </x:row>
    <x:row r="191" ht="24" customHeight="1">
      <x:c r="A191" s="34"/>
      <x:c r="B191" s="34"/>
      <x:c r="C191" s="34"/>
      <x:c r="D191" s="34"/>
      <x:c r="E191" s="34"/>
      <x:c r="F191" s="35"/>
    </x:row>
    <x:row r="192" ht="24" customHeight="1">
      <x:c r="A192" s="34"/>
      <x:c r="B192" s="34"/>
      <x:c r="C192" s="34"/>
      <x:c r="D192" s="34"/>
      <x:c r="E192" s="34"/>
      <x:c r="F192" s="35"/>
    </x:row>
    <x:row r="193" ht="24" customHeight="1">
      <x:c r="A193" s="34"/>
      <x:c r="B193" s="34"/>
      <x:c r="C193" s="34"/>
      <x:c r="D193" s="34"/>
      <x:c r="E193" s="34"/>
      <x:c r="F193" s="35"/>
    </x:row>
    <x:row r="194" ht="24" customHeight="1">
      <x:c r="A194" s="34"/>
      <x:c r="B194" s="34"/>
      <x:c r="C194" s="34"/>
      <x:c r="D194" s="34"/>
      <x:c r="E194" s="34"/>
      <x:c r="F194" s="35"/>
    </x:row>
    <x:row r="195" ht="24" customHeight="1">
      <x:c r="A195" s="34"/>
      <x:c r="B195" s="34"/>
      <x:c r="C195" s="34"/>
      <x:c r="D195" s="34"/>
      <x:c r="E195" s="34"/>
      <x:c r="F195" s="35"/>
    </x:row>
    <x:row r="196" ht="24" customHeight="1">
      <x:c r="A196" s="34"/>
      <x:c r="B196" s="34"/>
      <x:c r="C196" s="34"/>
      <x:c r="D196" s="34"/>
      <x:c r="E196" s="34"/>
      <x:c r="F196" s="35"/>
    </x:row>
    <x:row r="197" ht="24" customHeight="1">
      <x:c r="A197" s="34"/>
      <x:c r="B197" s="34"/>
      <x:c r="C197" s="34"/>
      <x:c r="D197" s="34"/>
      <x:c r="E197" s="34"/>
      <x:c r="F197" s="35"/>
    </x:row>
    <x:row r="198" ht="24" customHeight="1">
      <x:c r="A198" s="34"/>
      <x:c r="B198" s="34"/>
      <x:c r="C198" s="34"/>
      <x:c r="D198" s="34"/>
      <x:c r="E198" s="34"/>
      <x:c r="F198" s="35"/>
    </x:row>
    <x:row r="199" ht="24" customHeight="1">
      <x:c r="A199" s="34"/>
      <x:c r="B199" s="34"/>
      <x:c r="C199" s="34"/>
      <x:c r="D199" s="34"/>
      <x:c r="E199" s="34"/>
      <x:c r="F199" s="35"/>
    </x:row>
    <x:row r="200" ht="24" customHeight="1">
      <x:c r="A200" s="34"/>
      <x:c r="B200" s="34"/>
      <x:c r="C200" s="34"/>
      <x:c r="D200" s="34"/>
      <x:c r="E200" s="34"/>
      <x:c r="F200" s="35"/>
    </x:row>
    <x:row r="201" ht="24" customHeight="1">
      <x:c r="A201" s="34"/>
      <x:c r="B201" s="34"/>
      <x:c r="C201" s="34"/>
      <x:c r="D201" s="34"/>
      <x:c r="E201" s="34"/>
      <x:c r="F201" s="35"/>
    </x:row>
    <x:row r="202" ht="24" customHeight="1">
      <x:c r="A202" s="34"/>
      <x:c r="B202" s="34"/>
      <x:c r="C202" s="34"/>
      <x:c r="D202" s="34"/>
      <x:c r="E202" s="34"/>
      <x:c r="F202" s="35"/>
    </x:row>
    <x:row r="203" ht="24" customHeight="1">
      <x:c r="A203" s="34"/>
      <x:c r="B203" s="34"/>
      <x:c r="C203" s="34"/>
      <x:c r="D203" s="34"/>
      <x:c r="E203" s="34"/>
      <x:c r="F203" s="35"/>
    </x:row>
    <x:row r="204" ht="24" customHeight="1">
      <x:c r="A204" s="34"/>
      <x:c r="B204" s="34"/>
      <x:c r="C204" s="34"/>
      <x:c r="D204" s="34"/>
      <x:c r="E204" s="34"/>
      <x:c r="F204" s="35"/>
    </x:row>
    <x:row r="205" ht="24" customHeight="1">
      <x:c r="A205" s="34"/>
      <x:c r="B205" s="34"/>
      <x:c r="C205" s="34"/>
      <x:c r="D205" s="34"/>
      <x:c r="E205" s="34"/>
      <x:c r="F205" s="35"/>
    </x:row>
    <x:row r="206" ht="24" customHeight="1">
      <x:c r="A206" s="34"/>
      <x:c r="B206" s="34"/>
      <x:c r="C206" s="34"/>
      <x:c r="D206" s="34"/>
      <x:c r="E206" s="34"/>
      <x:c r="F206" s="35"/>
    </x:row>
    <x:row r="207" ht="24" customHeight="1">
      <x:c r="A207" s="34"/>
      <x:c r="B207" s="34"/>
      <x:c r="C207" s="34"/>
      <x:c r="D207" s="34"/>
      <x:c r="E207" s="34"/>
      <x:c r="F207" s="35"/>
    </x:row>
    <x:row r="208" ht="24" customHeight="1">
      <x:c r="A208" s="34"/>
      <x:c r="B208" s="34"/>
      <x:c r="C208" s="34"/>
      <x:c r="D208" s="34"/>
      <x:c r="E208" s="34"/>
      <x:c r="F208" s="35"/>
    </x:row>
    <x:row r="209" ht="24" customHeight="1">
      <x:c r="A209" s="34"/>
      <x:c r="B209" s="34"/>
      <x:c r="C209" s="34"/>
      <x:c r="D209" s="34"/>
      <x:c r="E209" s="34"/>
      <x:c r="F209" s="35"/>
    </x:row>
    <x:row r="210" ht="24" customHeight="1">
      <x:c r="A210" s="34"/>
      <x:c r="B210" s="34"/>
      <x:c r="C210" s="34"/>
      <x:c r="D210" s="34"/>
      <x:c r="E210" s="34"/>
      <x:c r="F210" s="35"/>
    </x:row>
    <x:row r="211" ht="24" customHeight="1">
      <x:c r="A211" s="34"/>
      <x:c r="B211" s="34"/>
      <x:c r="C211" s="34"/>
      <x:c r="D211" s="34"/>
      <x:c r="E211" s="34"/>
      <x:c r="F211" s="35"/>
    </x:row>
    <x:row r="212" ht="24" customHeight="1">
      <x:c r="A212" s="34"/>
      <x:c r="B212" s="34"/>
      <x:c r="C212" s="34"/>
      <x:c r="D212" s="34"/>
      <x:c r="E212" s="34"/>
      <x:c r="F212" s="35"/>
    </x:row>
    <x:row r="213" ht="24" customHeight="1">
      <x:c r="A213" s="34"/>
      <x:c r="B213" s="34"/>
      <x:c r="C213" s="34"/>
      <x:c r="D213" s="34"/>
      <x:c r="E213" s="34"/>
      <x:c r="F213" s="35"/>
    </x:row>
    <x:row r="214" ht="24" customHeight="1">
      <x:c r="A214" s="34"/>
      <x:c r="B214" s="34"/>
      <x:c r="C214" s="34"/>
      <x:c r="D214" s="34"/>
      <x:c r="E214" s="34"/>
      <x:c r="F214" s="35"/>
    </x:row>
    <x:row r="215" ht="24" customHeight="1">
      <x:c r="A215" s="34"/>
      <x:c r="B215" s="34"/>
      <x:c r="C215" s="34"/>
      <x:c r="D215" s="34"/>
      <x:c r="E215" s="34"/>
      <x:c r="F215" s="35"/>
    </x:row>
    <x:row r="216" ht="24" customHeight="1">
      <x:c r="A216" s="34"/>
      <x:c r="B216" s="34"/>
      <x:c r="C216" s="34"/>
      <x:c r="D216" s="34"/>
      <x:c r="E216" s="34"/>
      <x:c r="F216" s="35"/>
    </x:row>
    <x:row r="217" ht="24" customHeight="1">
      <x:c r="A217" s="34"/>
      <x:c r="B217" s="34"/>
      <x:c r="C217" s="34"/>
      <x:c r="D217" s="34"/>
      <x:c r="E217" s="34"/>
      <x:c r="F217" s="35"/>
    </x:row>
    <x:row r="218" ht="24" customHeight="1">
      <x:c r="A218" s="34"/>
      <x:c r="B218" s="34"/>
      <x:c r="C218" s="34"/>
      <x:c r="D218" s="34"/>
      <x:c r="E218" s="34"/>
      <x:c r="F218" s="35"/>
    </x:row>
    <x:row r="219" ht="24" customHeight="1">
      <x:c r="A219" s="34"/>
      <x:c r="B219" s="34"/>
      <x:c r="C219" s="34"/>
      <x:c r="D219" s="34"/>
      <x:c r="E219" s="34"/>
      <x:c r="F219" s="35"/>
    </x:row>
    <x:row r="220" ht="24" customHeight="1">
      <x:c r="A220" s="34"/>
      <x:c r="B220" s="34"/>
      <x:c r="C220" s="34"/>
      <x:c r="D220" s="34"/>
      <x:c r="E220" s="34"/>
      <x:c r="F220" s="35"/>
    </x:row>
    <x:row r="221" ht="24" customHeight="1">
      <x:c r="A221" s="34"/>
      <x:c r="B221" s="34"/>
      <x:c r="C221" s="34"/>
      <x:c r="D221" s="34"/>
      <x:c r="E221" s="34"/>
      <x:c r="F221" s="35"/>
    </x:row>
    <x:row r="222" ht="24" customHeight="1">
      <x:c r="A222" s="34"/>
      <x:c r="B222" s="34"/>
      <x:c r="C222" s="34"/>
      <x:c r="D222" s="34"/>
      <x:c r="E222" s="34"/>
      <x:c r="F222" s="35"/>
    </x:row>
    <x:row r="223" ht="24" customHeight="1">
      <x:c r="A223" s="34"/>
      <x:c r="B223" s="34"/>
      <x:c r="C223" s="34"/>
      <x:c r="D223" s="34"/>
      <x:c r="E223" s="34"/>
      <x:c r="F223" s="35"/>
    </x:row>
    <x:row r="224" ht="24" customHeight="1">
      <x:c r="A224" s="34"/>
      <x:c r="B224" s="34"/>
      <x:c r="C224" s="34"/>
      <x:c r="D224" s="34"/>
      <x:c r="E224" s="34"/>
      <x:c r="F224" s="35"/>
    </x:row>
    <x:row r="225" ht="24" customHeight="1">
      <x:c r="A225" s="34"/>
      <x:c r="B225" s="34"/>
      <x:c r="C225" s="34"/>
      <x:c r="D225" s="34"/>
      <x:c r="E225" s="34"/>
      <x:c r="F225" s="35"/>
    </x:row>
    <x:row r="226" ht="24" customHeight="1">
      <x:c r="A226" s="34"/>
      <x:c r="B226" s="34"/>
      <x:c r="C226" s="34"/>
      <x:c r="D226" s="34"/>
      <x:c r="E226" s="34"/>
      <x:c r="F226" s="35"/>
    </x:row>
    <x:row r="227" ht="24" customHeight="1">
      <x:c r="A227" s="34"/>
      <x:c r="B227" s="34"/>
      <x:c r="C227" s="34"/>
      <x:c r="D227" s="34"/>
      <x:c r="E227" s="34"/>
      <x:c r="F227" s="35"/>
    </x:row>
    <x:row r="228" ht="24" customHeight="1">
      <x:c r="A228" s="34"/>
      <x:c r="B228" s="34"/>
      <x:c r="C228" s="34"/>
      <x:c r="D228" s="34"/>
      <x:c r="E228" s="34"/>
      <x:c r="F228" s="35"/>
    </x:row>
    <x:row r="229" ht="24" customHeight="1">
      <x:c r="A229" s="34"/>
      <x:c r="B229" s="34"/>
      <x:c r="C229" s="34"/>
      <x:c r="D229" s="34"/>
      <x:c r="E229" s="34"/>
      <x:c r="F229" s="35"/>
    </x:row>
    <x:row r="230" ht="24" customHeight="1">
      <x:c r="A230" s="34"/>
      <x:c r="B230" s="34"/>
      <x:c r="C230" s="34"/>
      <x:c r="D230" s="34"/>
      <x:c r="E230" s="34"/>
      <x:c r="F230" s="35"/>
    </x:row>
    <x:row r="231" ht="24" customHeight="1">
      <x:c r="A231" s="34"/>
      <x:c r="B231" s="34"/>
      <x:c r="C231" s="34"/>
      <x:c r="D231" s="34"/>
      <x:c r="E231" s="34"/>
      <x:c r="F231" s="35"/>
    </x:row>
    <x:row r="232" ht="24" customHeight="1">
      <x:c r="A232" s="34"/>
      <x:c r="B232" s="34"/>
      <x:c r="C232" s="34"/>
      <x:c r="D232" s="34"/>
      <x:c r="E232" s="34"/>
      <x:c r="F232" s="35"/>
    </x:row>
    <x:row r="233" ht="24" customHeight="1">
      <x:c r="A233" s="34"/>
      <x:c r="B233" s="34"/>
      <x:c r="C233" s="34"/>
      <x:c r="D233" s="34"/>
      <x:c r="E233" s="34"/>
      <x:c r="F233" s="35"/>
    </x:row>
    <x:row r="234" ht="24" customHeight="1">
      <x:c r="A234" s="34"/>
      <x:c r="B234" s="34"/>
      <x:c r="C234" s="34"/>
      <x:c r="D234" s="34"/>
      <x:c r="E234" s="34"/>
      <x:c r="F234" s="35"/>
    </x:row>
    <x:row r="235" ht="24" customHeight="1">
      <x:c r="A235" s="34"/>
      <x:c r="B235" s="34"/>
      <x:c r="C235" s="34"/>
      <x:c r="D235" s="34"/>
      <x:c r="E235" s="34"/>
      <x:c r="F235" s="35"/>
    </x:row>
    <x:row r="236" ht="24" customHeight="1">
      <x:c r="A236" s="34"/>
      <x:c r="B236" s="34"/>
      <x:c r="C236" s="34"/>
      <x:c r="D236" s="34"/>
      <x:c r="E236" s="34"/>
      <x:c r="F236" s="35"/>
    </x:row>
    <x:row r="237" ht="24" customHeight="1">
      <x:c r="A237" s="34"/>
      <x:c r="B237" s="34"/>
      <x:c r="C237" s="34"/>
      <x:c r="D237" s="34"/>
      <x:c r="E237" s="34"/>
      <x:c r="F237" s="35"/>
    </x:row>
    <x:row r="238" ht="24" customHeight="1">
      <x:c r="A238" s="34"/>
      <x:c r="B238" s="34"/>
      <x:c r="C238" s="34"/>
      <x:c r="D238" s="34"/>
      <x:c r="E238" s="34"/>
      <x:c r="F238" s="35"/>
    </x:row>
    <x:row r="239" ht="24" customHeight="1">
      <x:c r="A239" s="34"/>
      <x:c r="B239" s="34"/>
      <x:c r="C239" s="34"/>
      <x:c r="D239" s="34"/>
      <x:c r="E239" s="34"/>
      <x:c r="F239" s="35"/>
    </x:row>
    <x:row r="240" ht="24" customHeight="1">
      <x:c r="A240" s="34"/>
      <x:c r="B240" s="34"/>
      <x:c r="C240" s="34"/>
      <x:c r="D240" s="34"/>
      <x:c r="E240" s="34"/>
      <x:c r="F240" s="35"/>
    </x:row>
    <x:row r="241" ht="24" customHeight="1">
      <x:c r="A241" s="34"/>
      <x:c r="B241" s="34"/>
      <x:c r="C241" s="34"/>
      <x:c r="D241" s="34"/>
      <x:c r="E241" s="34"/>
      <x:c r="F241" s="35"/>
    </x:row>
    <x:row r="242" ht="24" customHeight="1">
      <x:c r="A242" s="34"/>
      <x:c r="B242" s="34"/>
      <x:c r="C242" s="34"/>
      <x:c r="D242" s="34"/>
      <x:c r="E242" s="34"/>
      <x:c r="F242" s="35"/>
    </x:row>
    <x:row r="243" ht="24" customHeight="1">
      <x:c r="A243" s="34"/>
      <x:c r="B243" s="34"/>
      <x:c r="C243" s="34"/>
      <x:c r="D243" s="34"/>
      <x:c r="E243" s="34"/>
      <x:c r="F243" s="35"/>
    </x:row>
    <x:row r="244" ht="24" customHeight="1">
      <x:c r="A244" s="34"/>
      <x:c r="B244" s="34"/>
      <x:c r="C244" s="34"/>
      <x:c r="D244" s="34"/>
      <x:c r="E244" s="34"/>
      <x:c r="F244" s="35"/>
    </x:row>
    <x:row r="245" ht="24" customHeight="1">
      <x:c r="A245" s="34"/>
      <x:c r="B245" s="34"/>
      <x:c r="C245" s="34"/>
      <x:c r="D245" s="34"/>
      <x:c r="E245" s="34"/>
      <x:c r="F245" s="35"/>
    </x:row>
    <x:row r="246" ht="24" customHeight="1">
      <x:c r="A246" s="34"/>
      <x:c r="B246" s="34"/>
      <x:c r="C246" s="34"/>
      <x:c r="D246" s="34"/>
      <x:c r="E246" s="34"/>
      <x:c r="F246" s="35"/>
    </x:row>
    <x:row r="247" ht="24" customHeight="1">
      <x:c r="A247" s="34"/>
      <x:c r="B247" s="34"/>
      <x:c r="C247" s="34"/>
      <x:c r="D247" s="34"/>
      <x:c r="E247" s="34"/>
      <x:c r="F247" s="35"/>
    </x:row>
    <x:row r="248" ht="24" customHeight="1">
      <x:c r="A248" s="34"/>
      <x:c r="B248" s="34"/>
      <x:c r="C248" s="34"/>
      <x:c r="D248" s="34"/>
      <x:c r="E248" s="34"/>
      <x:c r="F248" s="35"/>
    </x:row>
    <x:row r="249" ht="24" customHeight="1">
      <x:c r="A249" s="34"/>
      <x:c r="B249" s="34"/>
      <x:c r="C249" s="34"/>
      <x:c r="D249" s="34"/>
      <x:c r="E249" s="34"/>
      <x:c r="F249" s="35"/>
    </x:row>
    <x:row r="250" ht="24" customHeight="1">
      <x:c r="A250" s="34"/>
      <x:c r="B250" s="34"/>
      <x:c r="C250" s="34"/>
      <x:c r="D250" s="34"/>
      <x:c r="E250" s="34"/>
      <x:c r="F250" s="35"/>
    </x:row>
    <x:row r="251" ht="24" customHeight="1">
      <x:c r="A251" s="34"/>
      <x:c r="B251" s="34"/>
      <x:c r="C251" s="34"/>
      <x:c r="D251" s="34"/>
      <x:c r="E251" s="34"/>
      <x:c r="F251" s="35"/>
    </x:row>
    <x:row r="252" ht="24" customHeight="1">
      <x:c r="A252" s="34"/>
      <x:c r="B252" s="34"/>
      <x:c r="C252" s="34"/>
      <x:c r="D252" s="34"/>
      <x:c r="E252" s="34"/>
      <x:c r="F252" s="35"/>
    </x:row>
    <x:row r="253" ht="24" customHeight="1">
      <x:c r="A253" s="34"/>
      <x:c r="B253" s="34"/>
      <x:c r="C253" s="34"/>
      <x:c r="D253" s="34"/>
      <x:c r="E253" s="34"/>
      <x:c r="F253" s="35"/>
    </x:row>
    <x:row r="254" ht="24" customHeight="1">
      <x:c r="A254" s="34"/>
      <x:c r="B254" s="34"/>
      <x:c r="C254" s="34"/>
      <x:c r="D254" s="34"/>
      <x:c r="E254" s="34"/>
      <x:c r="F254" s="35"/>
    </x:row>
    <x:row r="255" ht="24" customHeight="1">
      <x:c r="A255" s="34"/>
      <x:c r="B255" s="34"/>
      <x:c r="C255" s="34"/>
      <x:c r="D255" s="34"/>
      <x:c r="E255" s="34"/>
      <x:c r="F255" s="35"/>
    </x:row>
    <x:row r="256" ht="24" customHeight="1">
      <x:c r="A256" s="34"/>
      <x:c r="B256" s="34"/>
      <x:c r="C256" s="34"/>
      <x:c r="D256" s="34"/>
      <x:c r="E256" s="34"/>
      <x:c r="F256" s="35"/>
    </x:row>
    <x:row r="257" ht="24" customHeight="1">
      <x:c r="A257" s="34"/>
      <x:c r="B257" s="34"/>
      <x:c r="C257" s="34"/>
      <x:c r="D257" s="34"/>
      <x:c r="E257" s="34"/>
      <x:c r="F257" s="35"/>
    </x:row>
    <x:row r="258" ht="24" customHeight="1">
      <x:c r="A258" s="34"/>
      <x:c r="B258" s="34"/>
      <x:c r="C258" s="34"/>
      <x:c r="D258" s="34"/>
      <x:c r="E258" s="34"/>
      <x:c r="F258" s="35"/>
    </x:row>
    <x:row r="259" ht="24" customHeight="1">
      <x:c r="A259" s="34"/>
      <x:c r="B259" s="34"/>
      <x:c r="C259" s="34"/>
      <x:c r="D259" s="34"/>
      <x:c r="E259" s="34"/>
      <x:c r="F259" s="35"/>
    </x:row>
    <x:row r="260" ht="24" customHeight="1">
      <x:c r="A260" s="34"/>
      <x:c r="B260" s="34"/>
      <x:c r="C260" s="34"/>
      <x:c r="D260" s="34"/>
      <x:c r="E260" s="34"/>
      <x:c r="F260" s="35"/>
    </x:row>
    <x:row r="261" ht="24" customHeight="1">
      <x:c r="A261" s="34"/>
      <x:c r="B261" s="34"/>
      <x:c r="C261" s="34"/>
      <x:c r="D261" s="34"/>
      <x:c r="E261" s="34"/>
      <x:c r="F261" s="35"/>
    </x:row>
    <x:row r="262" ht="24" customHeight="1">
      <x:c r="A262" s="34"/>
      <x:c r="B262" s="34"/>
      <x:c r="C262" s="34"/>
      <x:c r="D262" s="34"/>
      <x:c r="E262" s="34"/>
      <x:c r="F262" s="35"/>
    </x:row>
    <x:row r="263" ht="24" customHeight="1">
      <x:c r="A263" s="34"/>
      <x:c r="B263" s="34"/>
      <x:c r="C263" s="34"/>
      <x:c r="D263" s="34"/>
      <x:c r="E263" s="34"/>
      <x:c r="F263" s="35"/>
    </x:row>
    <x:row r="264" ht="24" customHeight="1">
      <x:c r="A264" s="34"/>
      <x:c r="B264" s="34"/>
      <x:c r="C264" s="34"/>
      <x:c r="D264" s="34"/>
      <x:c r="E264" s="34"/>
      <x:c r="F264" s="35"/>
    </x:row>
    <x:row r="265" ht="24" customHeight="1">
      <x:c r="A265" s="34"/>
      <x:c r="B265" s="34"/>
      <x:c r="C265" s="34"/>
      <x:c r="D265" s="34"/>
      <x:c r="E265" s="34"/>
      <x:c r="F265" s="35"/>
    </x:row>
    <x:row r="266" ht="24" customHeight="1">
      <x:c r="A266" s="34"/>
      <x:c r="B266" s="34"/>
      <x:c r="C266" s="34"/>
      <x:c r="D266" s="34"/>
      <x:c r="E266" s="34"/>
      <x:c r="F266" s="35"/>
    </x:row>
    <x:row r="267" ht="24" customHeight="1">
      <x:c r="A267" s="34"/>
      <x:c r="B267" s="34"/>
      <x:c r="C267" s="34"/>
      <x:c r="D267" s="34"/>
      <x:c r="E267" s="34"/>
      <x:c r="F267" s="35"/>
    </x:row>
    <x:row r="268" ht="24" customHeight="1">
      <x:c r="A268" s="34"/>
      <x:c r="B268" s="34"/>
      <x:c r="C268" s="34"/>
      <x:c r="D268" s="34"/>
      <x:c r="E268" s="34"/>
      <x:c r="F268" s="35"/>
    </x:row>
    <x:row r="269" ht="24" customHeight="1">
      <x:c r="A269" s="34"/>
      <x:c r="B269" s="34"/>
      <x:c r="C269" s="34"/>
      <x:c r="D269" s="34"/>
      <x:c r="E269" s="34"/>
      <x:c r="F269" s="35"/>
    </x:row>
    <x:row r="270" ht="24" customHeight="1">
      <x:c r="A270" s="34"/>
      <x:c r="B270" s="34"/>
      <x:c r="C270" s="34"/>
      <x:c r="D270" s="34"/>
      <x:c r="E270" s="34"/>
      <x:c r="F270" s="35"/>
    </x:row>
    <x:row r="271" ht="24" customHeight="1">
      <x:c r="A271" s="34"/>
      <x:c r="B271" s="34"/>
      <x:c r="C271" s="34"/>
      <x:c r="D271" s="34"/>
      <x:c r="E271" s="34"/>
      <x:c r="F271" s="35"/>
    </x:row>
    <x:row r="272" ht="24" customHeight="1">
      <x:c r="A272" s="34"/>
      <x:c r="B272" s="34"/>
      <x:c r="C272" s="34"/>
      <x:c r="D272" s="34"/>
      <x:c r="E272" s="34"/>
      <x:c r="F272" s="35"/>
    </x:row>
    <x:row r="273" ht="24" customHeight="1">
      <x:c r="A273" s="34"/>
      <x:c r="B273" s="34"/>
      <x:c r="C273" s="34"/>
      <x:c r="D273" s="34"/>
      <x:c r="E273" s="34"/>
      <x:c r="F273" s="35"/>
    </x:row>
    <x:row r="274" ht="24" customHeight="1">
      <x:c r="A274" s="34"/>
      <x:c r="B274" s="34"/>
      <x:c r="C274" s="34"/>
      <x:c r="D274" s="34"/>
      <x:c r="E274" s="34"/>
      <x:c r="F274" s="35"/>
    </x:row>
    <x:row r="275" ht="24" customHeight="1">
      <x:c r="A275" s="34"/>
      <x:c r="B275" s="34"/>
      <x:c r="C275" s="34"/>
      <x:c r="D275" s="34"/>
      <x:c r="E275" s="34"/>
      <x:c r="F275" s="35"/>
    </x:row>
    <x:row r="276" ht="24" customHeight="1">
      <x:c r="A276" s="34"/>
      <x:c r="B276" s="34"/>
      <x:c r="C276" s="34"/>
      <x:c r="D276" s="34"/>
      <x:c r="E276" s="34"/>
      <x:c r="F276" s="35"/>
    </x:row>
    <x:row r="277" ht="24" customHeight="1">
      <x:c r="A277" s="34"/>
      <x:c r="B277" s="34"/>
      <x:c r="C277" s="34"/>
      <x:c r="D277" s="34"/>
      <x:c r="E277" s="34"/>
      <x:c r="F277" s="35"/>
    </x:row>
    <x:row r="278" ht="24" customHeight="1">
      <x:c r="A278" s="34"/>
      <x:c r="B278" s="34"/>
      <x:c r="C278" s="34"/>
      <x:c r="D278" s="34"/>
      <x:c r="E278" s="34"/>
      <x:c r="F278" s="35"/>
    </x:row>
    <x:row r="279" ht="24" customHeight="1">
      <x:c r="A279" s="34"/>
      <x:c r="B279" s="34"/>
      <x:c r="C279" s="34"/>
      <x:c r="D279" s="34"/>
      <x:c r="E279" s="34"/>
      <x:c r="F279" s="35"/>
    </x:row>
    <x:row r="280" ht="24" customHeight="1">
      <x:c r="A280" s="34"/>
      <x:c r="B280" s="34"/>
      <x:c r="C280" s="34"/>
      <x:c r="D280" s="34"/>
      <x:c r="E280" s="34"/>
      <x:c r="F280" s="35"/>
    </x:row>
    <x:row r="281" ht="24" customHeight="1">
      <x:c r="A281" s="34"/>
      <x:c r="B281" s="34"/>
      <x:c r="C281" s="34"/>
      <x:c r="D281" s="34"/>
      <x:c r="E281" s="34"/>
      <x:c r="F281" s="35"/>
    </x:row>
    <x:row r="282" ht="24" customHeight="1">
      <x:c r="A282" s="34"/>
      <x:c r="B282" s="34"/>
      <x:c r="C282" s="34"/>
      <x:c r="D282" s="34"/>
      <x:c r="E282" s="34"/>
      <x:c r="F282" s="35"/>
    </x:row>
    <x:row r="283" ht="24" customHeight="1">
      <x:c r="A283" s="34"/>
      <x:c r="B283" s="34"/>
      <x:c r="C283" s="34"/>
      <x:c r="D283" s="34"/>
      <x:c r="E283" s="34"/>
      <x:c r="F283" s="35"/>
    </x:row>
    <x:row r="284" ht="24" customHeight="1">
      <x:c r="A284" s="34"/>
      <x:c r="B284" s="34"/>
      <x:c r="C284" s="34"/>
      <x:c r="D284" s="34"/>
      <x:c r="E284" s="34"/>
      <x:c r="F284" s="35"/>
    </x:row>
    <x:row r="285" ht="24" customHeight="1">
      <x:c r="A285" s="34"/>
      <x:c r="B285" s="34"/>
      <x:c r="C285" s="34"/>
      <x:c r="D285" s="34"/>
      <x:c r="E285" s="34"/>
      <x:c r="F285" s="35"/>
    </x:row>
    <x:row r="286" ht="24" customHeight="1">
      <x:c r="A286" s="34"/>
      <x:c r="B286" s="34"/>
      <x:c r="C286" s="34"/>
      <x:c r="D286" s="34"/>
      <x:c r="E286" s="34"/>
      <x:c r="F286" s="35"/>
    </x:row>
    <x:row r="287" ht="24" customHeight="1">
      <x:c r="A287" s="34"/>
      <x:c r="B287" s="34"/>
      <x:c r="C287" s="34"/>
      <x:c r="D287" s="34"/>
      <x:c r="E287" s="34"/>
      <x:c r="F287" s="35"/>
    </x:row>
    <x:row r="288" ht="24" customHeight="1">
      <x:c r="A288" s="34"/>
      <x:c r="B288" s="34"/>
      <x:c r="C288" s="34"/>
      <x:c r="D288" s="34"/>
      <x:c r="E288" s="34"/>
      <x:c r="F288" s="35"/>
    </x:row>
    <x:row r="289" ht="24" customHeight="1">
      <x:c r="A289" s="34"/>
      <x:c r="B289" s="34"/>
      <x:c r="C289" s="34"/>
      <x:c r="D289" s="34"/>
      <x:c r="E289" s="34"/>
      <x:c r="F289" s="35"/>
    </x:row>
    <x:row r="290" ht="24" customHeight="1">
      <x:c r="A290" s="34"/>
      <x:c r="B290" s="34"/>
      <x:c r="C290" s="34"/>
      <x:c r="D290" s="34"/>
      <x:c r="E290" s="34"/>
      <x:c r="F290" s="35"/>
    </x:row>
    <x:row r="291" ht="24" customHeight="1">
      <x:c r="A291" s="34"/>
      <x:c r="B291" s="34"/>
      <x:c r="C291" s="34"/>
      <x:c r="D291" s="34"/>
      <x:c r="E291" s="34"/>
      <x:c r="F291" s="35"/>
    </x:row>
    <x:row r="292" ht="24" customHeight="1">
      <x:c r="A292" s="34"/>
      <x:c r="B292" s="34"/>
      <x:c r="C292" s="34"/>
      <x:c r="D292" s="34"/>
      <x:c r="E292" s="34"/>
      <x:c r="F292" s="35"/>
    </x:row>
    <x:row r="293" ht="24" customHeight="1">
      <x:c r="A293" s="34"/>
      <x:c r="B293" s="34"/>
      <x:c r="C293" s="34"/>
      <x:c r="D293" s="34"/>
      <x:c r="E293" s="34"/>
      <x:c r="F293" s="35"/>
    </x:row>
    <x:row r="294" ht="24" customHeight="1">
      <x:c r="A294" s="34"/>
      <x:c r="B294" s="34"/>
      <x:c r="C294" s="34"/>
      <x:c r="D294" s="34"/>
      <x:c r="E294" s="34"/>
      <x:c r="F294" s="35"/>
    </x:row>
    <x:row r="295" ht="24" customHeight="1">
      <x:c r="A295" s="34"/>
      <x:c r="B295" s="34"/>
      <x:c r="C295" s="34"/>
      <x:c r="D295" s="34"/>
      <x:c r="E295" s="34"/>
      <x:c r="F295" s="35"/>
    </x:row>
    <x:row r="296" ht="24" customHeight="1">
      <x:c r="A296" s="34"/>
      <x:c r="B296" s="34"/>
      <x:c r="C296" s="34"/>
      <x:c r="D296" s="34"/>
      <x:c r="E296" s="34"/>
      <x:c r="F296" s="35"/>
    </x:row>
    <x:row r="297" ht="24" customHeight="1">
      <x:c r="A297" s="34"/>
      <x:c r="B297" s="34"/>
      <x:c r="C297" s="34"/>
      <x:c r="D297" s="34"/>
      <x:c r="E297" s="34"/>
      <x:c r="F297" s="35"/>
    </x:row>
    <x:row r="298" ht="24" customHeight="1">
      <x:c r="A298" s="34"/>
      <x:c r="B298" s="34"/>
      <x:c r="C298" s="34"/>
      <x:c r="D298" s="34"/>
      <x:c r="E298" s="34"/>
      <x:c r="F298" s="35"/>
    </x:row>
    <x:row r="299" ht="24" customHeight="1">
      <x:c r="A299" s="34"/>
      <x:c r="B299" s="34"/>
      <x:c r="C299" s="34"/>
      <x:c r="D299" s="34"/>
      <x:c r="E299" s="34"/>
      <x:c r="F299" s="35"/>
    </x:row>
    <x:row r="300" ht="24" customHeight="1">
      <x:c r="A300" s="34"/>
      <x:c r="B300" s="34"/>
      <x:c r="C300" s="34"/>
      <x:c r="D300" s="34"/>
      <x:c r="E300" s="34"/>
      <x:c r="F300" s="35"/>
    </x:row>
    <x:row r="301" ht="24" customHeight="1">
      <x:c r="A301" s="34"/>
      <x:c r="B301" s="34"/>
      <x:c r="C301" s="34"/>
      <x:c r="D301" s="34"/>
      <x:c r="E301" s="34"/>
      <x:c r="F301" s="35"/>
    </x:row>
    <x:row r="302" ht="24" customHeight="1">
      <x:c r="A302" s="34"/>
      <x:c r="B302" s="34"/>
      <x:c r="C302" s="34"/>
      <x:c r="D302" s="34"/>
      <x:c r="E302" s="34"/>
      <x:c r="F302" s="35"/>
    </x:row>
    <x:row r="303" ht="24" customHeight="1">
      <x:c r="A303" s="34"/>
      <x:c r="B303" s="34"/>
      <x:c r="C303" s="34"/>
      <x:c r="D303" s="34"/>
      <x:c r="E303" s="34"/>
      <x:c r="F303" s="35"/>
    </x:row>
    <x:row r="304" ht="24" customHeight="1">
      <x:c r="A304" s="34"/>
      <x:c r="B304" s="34"/>
      <x:c r="C304" s="34"/>
      <x:c r="D304" s="34"/>
      <x:c r="E304" s="34"/>
      <x:c r="F304" s="35"/>
    </x:row>
    <x:row r="305" ht="24" customHeight="1">
      <x:c r="A305" s="34"/>
      <x:c r="B305" s="34"/>
      <x:c r="C305" s="34"/>
      <x:c r="D305" s="34"/>
      <x:c r="E305" s="34"/>
      <x:c r="F305" s="35"/>
    </x:row>
    <x:row r="306" ht="24" customHeight="1">
      <x:c r="A306" s="34"/>
      <x:c r="B306" s="34"/>
      <x:c r="C306" s="34"/>
      <x:c r="D306" s="34"/>
      <x:c r="E306" s="34"/>
      <x:c r="F306" s="35"/>
    </x:row>
    <x:row r="307" ht="24" customHeight="1">
      <x:c r="A307" s="34"/>
      <x:c r="B307" s="34"/>
      <x:c r="C307" s="34"/>
      <x:c r="D307" s="34"/>
      <x:c r="E307" s="34"/>
      <x:c r="F307" s="35"/>
    </x:row>
    <x:row r="308" ht="24" customHeight="1">
      <x:c r="A308" s="34"/>
      <x:c r="B308" s="34"/>
      <x:c r="C308" s="34"/>
      <x:c r="D308" s="34"/>
      <x:c r="E308" s="34"/>
      <x:c r="F308" s="35"/>
    </x:row>
    <x:row r="309" ht="24" customHeight="1">
      <x:c r="A309" s="34"/>
      <x:c r="B309" s="34"/>
      <x:c r="C309" s="34"/>
      <x:c r="D309" s="34"/>
      <x:c r="E309" s="34"/>
      <x:c r="F309" s="35"/>
    </x:row>
    <x:row r="310" ht="24" customHeight="1">
      <x:c r="A310" s="34"/>
      <x:c r="B310" s="34"/>
      <x:c r="C310" s="34"/>
      <x:c r="D310" s="34"/>
      <x:c r="E310" s="34"/>
      <x:c r="F310" s="35"/>
    </x:row>
    <x:row r="311" ht="24" customHeight="1">
      <x:c r="A311" s="34"/>
      <x:c r="B311" s="34"/>
      <x:c r="C311" s="34"/>
      <x:c r="D311" s="34"/>
      <x:c r="E311" s="34"/>
      <x:c r="F311" s="35"/>
    </x:row>
    <x:row r="312" ht="24" customHeight="1">
      <x:c r="A312" s="34"/>
      <x:c r="B312" s="34"/>
      <x:c r="C312" s="34"/>
      <x:c r="D312" s="34"/>
      <x:c r="E312" s="34"/>
      <x:c r="F312" s="35"/>
    </x:row>
    <x:row r="313" ht="24" customHeight="1">
      <x:c r="A313" s="34"/>
      <x:c r="B313" s="34"/>
      <x:c r="C313" s="34"/>
      <x:c r="D313" s="34"/>
      <x:c r="E313" s="34"/>
      <x:c r="F313" s="35"/>
    </x:row>
    <x:row r="314" ht="24" customHeight="1">
      <x:c r="A314" s="34"/>
      <x:c r="B314" s="34"/>
      <x:c r="C314" s="34"/>
      <x:c r="D314" s="34"/>
      <x:c r="E314" s="34"/>
      <x:c r="F314" s="35"/>
    </x:row>
    <x:row r="315" ht="24" customHeight="1">
      <x:c r="A315" s="34"/>
      <x:c r="B315" s="34"/>
      <x:c r="C315" s="34"/>
      <x:c r="D315" s="34"/>
      <x:c r="E315" s="34"/>
      <x:c r="F315" s="35"/>
    </x:row>
    <x:row r="316" ht="24" customHeight="1">
      <x:c r="A316" s="34"/>
      <x:c r="B316" s="34"/>
      <x:c r="C316" s="34"/>
      <x:c r="D316" s="34"/>
      <x:c r="E316" s="34"/>
      <x:c r="F316" s="35"/>
    </x:row>
    <x:row r="317" ht="24" customHeight="1">
      <x:c r="A317" s="34"/>
      <x:c r="B317" s="34"/>
      <x:c r="C317" s="34"/>
      <x:c r="D317" s="34"/>
      <x:c r="E317" s="34"/>
      <x:c r="F317" s="35"/>
    </x:row>
    <x:row r="318" ht="24" customHeight="1">
      <x:c r="A318" s="34"/>
      <x:c r="B318" s="34"/>
      <x:c r="C318" s="34"/>
      <x:c r="D318" s="34"/>
      <x:c r="E318" s="34"/>
      <x:c r="F318" s="35"/>
    </x:row>
    <x:row r="319" ht="24" customHeight="1">
      <x:c r="A319" s="34"/>
      <x:c r="B319" s="34"/>
      <x:c r="C319" s="34"/>
      <x:c r="D319" s="34"/>
      <x:c r="E319" s="34"/>
      <x:c r="F319" s="35"/>
    </x:row>
    <x:row r="320" ht="24" customHeight="1">
      <x:c r="A320" s="34"/>
      <x:c r="B320" s="34"/>
      <x:c r="C320" s="34"/>
      <x:c r="D320" s="34"/>
      <x:c r="E320" s="34"/>
      <x:c r="F320" s="35"/>
    </x:row>
    <x:row r="321" ht="24" customHeight="1">
      <x:c r="A321" s="34"/>
      <x:c r="B321" s="34"/>
      <x:c r="C321" s="34"/>
      <x:c r="D321" s="34"/>
      <x:c r="E321" s="34"/>
      <x:c r="F321" s="35"/>
    </x:row>
    <x:row r="322" ht="24" customHeight="1">
      <x:c r="A322" s="34"/>
      <x:c r="B322" s="34"/>
      <x:c r="C322" s="34"/>
      <x:c r="D322" s="34"/>
      <x:c r="E322" s="34"/>
      <x:c r="F322" s="35"/>
    </x:row>
    <x:row r="323" ht="24" customHeight="1">
      <x:c r="A323" s="34"/>
      <x:c r="B323" s="34"/>
      <x:c r="C323" s="34"/>
      <x:c r="D323" s="34"/>
      <x:c r="E323" s="34"/>
      <x:c r="F323" s="35"/>
    </x:row>
    <x:row r="324" ht="24" customHeight="1">
      <x:c r="A324" s="34"/>
      <x:c r="B324" s="34"/>
      <x:c r="C324" s="34"/>
      <x:c r="D324" s="34"/>
      <x:c r="E324" s="34"/>
      <x:c r="F324" s="35"/>
    </x:row>
    <x:row r="325" ht="24" customHeight="1">
      <x:c r="A325" s="34"/>
      <x:c r="B325" s="34"/>
      <x:c r="C325" s="34"/>
      <x:c r="D325" s="34"/>
      <x:c r="E325" s="34"/>
      <x:c r="F325" s="35"/>
    </x:row>
    <x:row r="326" ht="24" customHeight="1">
      <x:c r="A326" s="34"/>
      <x:c r="B326" s="34"/>
      <x:c r="C326" s="34"/>
      <x:c r="D326" s="34"/>
      <x:c r="E326" s="34"/>
      <x:c r="F326" s="35"/>
    </x:row>
    <x:row r="327" ht="24" customHeight="1">
      <x:c r="A327" s="34"/>
      <x:c r="B327" s="34"/>
      <x:c r="C327" s="34"/>
      <x:c r="D327" s="34"/>
      <x:c r="E327" s="34"/>
      <x:c r="F327" s="35"/>
    </x:row>
    <x:row r="328" ht="24" customHeight="1">
      <x:c r="A328" s="34"/>
      <x:c r="B328" s="34"/>
      <x:c r="C328" s="34"/>
      <x:c r="D328" s="34"/>
      <x:c r="E328" s="34"/>
      <x:c r="F328" s="35"/>
    </x:row>
    <x:row r="329" ht="24" customHeight="1">
      <x:c r="A329" s="34"/>
      <x:c r="B329" s="34"/>
      <x:c r="C329" s="34"/>
      <x:c r="D329" s="34"/>
      <x:c r="E329" s="34"/>
      <x:c r="F329" s="35"/>
    </x:row>
    <x:row r="330" ht="24" customHeight="1">
      <x:c r="A330" s="34"/>
      <x:c r="B330" s="34"/>
      <x:c r="C330" s="34"/>
      <x:c r="D330" s="34"/>
      <x:c r="E330" s="34"/>
      <x:c r="F330" s="35"/>
    </x:row>
    <x:row r="331" ht="24" customHeight="1">
      <x:c r="A331" s="34"/>
      <x:c r="B331" s="34"/>
      <x:c r="C331" s="34"/>
      <x:c r="D331" s="34"/>
      <x:c r="E331" s="34"/>
      <x:c r="F331" s="35"/>
    </x:row>
    <x:row r="332" ht="24" customHeight="1">
      <x:c r="A332" s="34"/>
      <x:c r="B332" s="34"/>
      <x:c r="C332" s="34"/>
      <x:c r="D332" s="34"/>
      <x:c r="E332" s="34"/>
      <x:c r="F332" s="35"/>
    </x:row>
    <x:row r="333" ht="24" customHeight="1">
      <x:c r="A333" s="34"/>
      <x:c r="B333" s="34"/>
      <x:c r="C333" s="34"/>
      <x:c r="D333" s="34"/>
      <x:c r="E333" s="34"/>
      <x:c r="F333" s="35"/>
    </x:row>
    <x:row r="334" ht="24" customHeight="1">
      <x:c r="A334" s="34"/>
      <x:c r="B334" s="34"/>
      <x:c r="C334" s="34"/>
      <x:c r="D334" s="34"/>
      <x:c r="E334" s="34"/>
      <x:c r="F334" s="35"/>
    </x:row>
    <x:row r="335" ht="24" customHeight="1">
      <x:c r="A335" s="34"/>
      <x:c r="B335" s="34"/>
      <x:c r="C335" s="34"/>
      <x:c r="D335" s="34"/>
      <x:c r="E335" s="34"/>
      <x:c r="F335" s="35"/>
    </x:row>
    <x:row r="336" ht="24" customHeight="1">
      <x:c r="A336" s="34"/>
      <x:c r="B336" s="34"/>
      <x:c r="C336" s="34"/>
      <x:c r="D336" s="34"/>
      <x:c r="E336" s="34"/>
      <x:c r="F336" s="35"/>
    </x:row>
    <x:row r="337" ht="24" customHeight="1">
      <x:c r="A337" s="34"/>
      <x:c r="B337" s="34"/>
      <x:c r="C337" s="34"/>
      <x:c r="D337" s="34"/>
      <x:c r="E337" s="34"/>
      <x:c r="F337" s="35"/>
    </x:row>
    <x:row r="338" ht="24" customHeight="1">
      <x:c r="A338" s="34"/>
      <x:c r="B338" s="34"/>
      <x:c r="C338" s="34"/>
      <x:c r="D338" s="34"/>
      <x:c r="E338" s="34"/>
      <x:c r="F338" s="35"/>
    </x:row>
    <x:row r="339" ht="24" customHeight="1">
      <x:c r="A339" s="34"/>
      <x:c r="B339" s="34"/>
      <x:c r="C339" s="34"/>
      <x:c r="D339" s="34"/>
      <x:c r="E339" s="34"/>
      <x:c r="F339" s="35"/>
    </x:row>
    <x:row r="340" ht="24" customHeight="1">
      <x:c r="A340" s="34"/>
      <x:c r="B340" s="34"/>
      <x:c r="C340" s="34"/>
      <x:c r="D340" s="34"/>
      <x:c r="E340" s="34"/>
      <x:c r="F340" s="35"/>
    </x:row>
    <x:row r="341" ht="24" customHeight="1">
      <x:c r="A341" s="34"/>
      <x:c r="B341" s="34"/>
      <x:c r="C341" s="34"/>
      <x:c r="D341" s="34"/>
      <x:c r="E341" s="34"/>
      <x:c r="F341" s="35"/>
    </x:row>
    <x:row r="342" ht="24" customHeight="1">
      <x:c r="A342" s="34"/>
      <x:c r="B342" s="34"/>
      <x:c r="C342" s="34"/>
      <x:c r="D342" s="34"/>
      <x:c r="E342" s="34"/>
      <x:c r="F342" s="35"/>
    </x:row>
    <x:row r="343" ht="24" customHeight="1">
      <x:c r="A343" s="34"/>
      <x:c r="B343" s="34"/>
      <x:c r="C343" s="34"/>
      <x:c r="D343" s="34"/>
      <x:c r="E343" s="34"/>
      <x:c r="F343" s="35"/>
    </x:row>
    <x:row r="344" ht="24" customHeight="1">
      <x:c r="A344" s="34"/>
      <x:c r="B344" s="34"/>
      <x:c r="C344" s="34"/>
      <x:c r="D344" s="34"/>
      <x:c r="E344" s="34"/>
      <x:c r="F344" s="35"/>
    </x:row>
    <x:row r="345" ht="24" customHeight="1">
      <x:c r="A345" s="34"/>
      <x:c r="B345" s="34"/>
      <x:c r="C345" s="34"/>
      <x:c r="D345" s="34"/>
      <x:c r="E345" s="34"/>
      <x:c r="F345" s="35"/>
    </x:row>
    <x:row r="346" ht="24" customHeight="1">
      <x:c r="A346" s="34"/>
      <x:c r="B346" s="34"/>
      <x:c r="C346" s="34"/>
      <x:c r="D346" s="34"/>
      <x:c r="E346" s="34"/>
      <x:c r="F346" s="35"/>
    </x:row>
    <x:row r="347" ht="24" customHeight="1">
      <x:c r="A347" s="34"/>
      <x:c r="B347" s="34"/>
      <x:c r="C347" s="34"/>
      <x:c r="D347" s="34"/>
      <x:c r="E347" s="34"/>
      <x:c r="F347" s="35"/>
    </x:row>
    <x:row r="348" ht="24" customHeight="1">
      <x:c r="A348" s="34"/>
      <x:c r="B348" s="34"/>
      <x:c r="C348" s="34"/>
      <x:c r="D348" s="34"/>
      <x:c r="E348" s="34"/>
      <x:c r="F348" s="35"/>
    </x:row>
    <x:row r="349" ht="24" customHeight="1">
      <x:c r="A349" s="34"/>
      <x:c r="B349" s="34"/>
      <x:c r="C349" s="34"/>
      <x:c r="D349" s="34"/>
      <x:c r="E349" s="34"/>
      <x:c r="F349" s="35"/>
    </x:row>
    <x:row r="350" ht="24" customHeight="1">
      <x:c r="A350" s="34"/>
      <x:c r="B350" s="34"/>
      <x:c r="C350" s="34"/>
      <x:c r="D350" s="34"/>
      <x:c r="E350" s="34"/>
      <x:c r="F350" s="35"/>
    </x:row>
    <x:row r="351" ht="24" customHeight="1">
      <x:c r="A351" s="34"/>
      <x:c r="B351" s="34"/>
      <x:c r="C351" s="34"/>
      <x:c r="D351" s="34"/>
      <x:c r="E351" s="34"/>
      <x:c r="F351" s="35"/>
    </x:row>
    <x:row r="352" ht="24" customHeight="1">
      <x:c r="A352" s="34"/>
      <x:c r="B352" s="34"/>
      <x:c r="C352" s="34"/>
      <x:c r="D352" s="34"/>
      <x:c r="E352" s="34"/>
      <x:c r="F352" s="35"/>
    </x:row>
    <x:row r="353" ht="24" customHeight="1">
      <x:c r="A353" s="34"/>
      <x:c r="B353" s="34"/>
      <x:c r="C353" s="34"/>
      <x:c r="D353" s="34"/>
      <x:c r="E353" s="34"/>
      <x:c r="F353" s="35"/>
    </x:row>
    <x:row r="354" ht="24" customHeight="1">
      <x:c r="A354" s="34"/>
      <x:c r="B354" s="34"/>
      <x:c r="C354" s="34"/>
      <x:c r="D354" s="34"/>
      <x:c r="E354" s="34"/>
      <x:c r="F354" s="35"/>
    </x:row>
    <x:row r="355" ht="24" customHeight="1">
      <x:c r="A355" s="34"/>
      <x:c r="B355" s="34"/>
      <x:c r="C355" s="34"/>
      <x:c r="D355" s="34"/>
      <x:c r="E355" s="34"/>
      <x:c r="F355" s="35"/>
    </x:row>
    <x:row r="356" ht="24" customHeight="1">
      <x:c r="A356" s="34"/>
      <x:c r="B356" s="34"/>
      <x:c r="C356" s="34"/>
      <x:c r="D356" s="34"/>
      <x:c r="E356" s="34"/>
      <x:c r="F356" s="35"/>
    </x:row>
    <x:row r="357" ht="24" customHeight="1">
      <x:c r="A357" s="34"/>
      <x:c r="B357" s="34"/>
      <x:c r="C357" s="34"/>
      <x:c r="D357" s="34"/>
      <x:c r="E357" s="34"/>
      <x:c r="F357" s="35"/>
    </x:row>
    <x:row r="358" ht="24" customHeight="1">
      <x:c r="A358" s="34"/>
      <x:c r="B358" s="34"/>
      <x:c r="C358" s="34"/>
      <x:c r="D358" s="34"/>
      <x:c r="E358" s="34"/>
      <x:c r="F358" s="35"/>
    </x:row>
    <x:row r="359" ht="24" customHeight="1">
      <x:c r="A359" s="34"/>
      <x:c r="B359" s="34"/>
      <x:c r="C359" s="34"/>
      <x:c r="D359" s="34"/>
      <x:c r="E359" s="34"/>
      <x:c r="F359" s="35"/>
    </x:row>
    <x:row r="360" ht="24" customHeight="1">
      <x:c r="A360" s="34"/>
      <x:c r="B360" s="34"/>
      <x:c r="C360" s="34"/>
      <x:c r="D360" s="34"/>
      <x:c r="E360" s="34"/>
      <x:c r="F360" s="35"/>
    </x:row>
    <x:row r="361" ht="24" customHeight="1">
      <x:c r="A361" s="34"/>
      <x:c r="B361" s="34"/>
      <x:c r="C361" s="34"/>
      <x:c r="D361" s="34"/>
      <x:c r="E361" s="34"/>
      <x:c r="F361" s="35"/>
    </x:row>
    <x:row r="362" ht="24" customHeight="1">
      <x:c r="A362" s="34"/>
      <x:c r="B362" s="34"/>
      <x:c r="C362" s="34"/>
      <x:c r="D362" s="34"/>
      <x:c r="E362" s="34"/>
      <x:c r="F362" s="35"/>
    </x:row>
    <x:row r="363" ht="24" customHeight="1">
      <x:c r="A363" s="34"/>
      <x:c r="B363" s="34"/>
      <x:c r="C363" s="34"/>
      <x:c r="D363" s="34"/>
      <x:c r="E363" s="34"/>
      <x:c r="F363" s="35"/>
    </x:row>
    <x:row r="364" ht="24" customHeight="1">
      <x:c r="A364" s="34"/>
      <x:c r="B364" s="34"/>
      <x:c r="C364" s="34"/>
      <x:c r="D364" s="34"/>
      <x:c r="E364" s="34"/>
      <x:c r="F364" s="35"/>
    </x:row>
    <x:row r="365" ht="24" customHeight="1">
      <x:c r="A365" s="34"/>
      <x:c r="B365" s="34"/>
      <x:c r="C365" s="34"/>
      <x:c r="D365" s="34"/>
      <x:c r="E365" s="34"/>
      <x:c r="F365" s="35"/>
    </x:row>
    <x:row r="366" ht="24" customHeight="1">
      <x:c r="A366" s="34"/>
      <x:c r="B366" s="34"/>
      <x:c r="C366" s="34"/>
      <x:c r="D366" s="34"/>
      <x:c r="E366" s="34"/>
      <x:c r="F366" s="35"/>
    </x:row>
    <x:row r="367" ht="24" customHeight="1">
      <x:c r="A367" s="34"/>
      <x:c r="B367" s="34"/>
      <x:c r="C367" s="34"/>
      <x:c r="D367" s="34"/>
      <x:c r="E367" s="34"/>
      <x:c r="F367" s="35"/>
    </x:row>
    <x:row r="368" ht="24" customHeight="1">
      <x:c r="A368" s="34"/>
      <x:c r="B368" s="34"/>
      <x:c r="C368" s="34"/>
      <x:c r="D368" s="34"/>
      <x:c r="E368" s="34"/>
      <x:c r="F368" s="35"/>
    </x:row>
    <x:row r="369" ht="24" customHeight="1">
      <x:c r="A369" s="34"/>
      <x:c r="B369" s="34"/>
      <x:c r="C369" s="34"/>
      <x:c r="D369" s="34"/>
      <x:c r="E369" s="34"/>
      <x:c r="F369" s="35"/>
    </x:row>
    <x:row r="370" ht="24" customHeight="1">
      <x:c r="A370" s="34"/>
      <x:c r="B370" s="34"/>
      <x:c r="C370" s="34"/>
      <x:c r="D370" s="34"/>
      <x:c r="E370" s="34"/>
      <x:c r="F370" s="35"/>
    </x:row>
    <x:row r="371" ht="24" customHeight="1">
      <x:c r="A371" s="34"/>
      <x:c r="B371" s="34"/>
      <x:c r="C371" s="34"/>
      <x:c r="D371" s="34"/>
      <x:c r="E371" s="34"/>
      <x:c r="F371" s="35"/>
    </x:row>
    <x:row r="372" ht="24" customHeight="1">
      <x:c r="A372" s="34"/>
      <x:c r="B372" s="34"/>
      <x:c r="C372" s="34"/>
      <x:c r="D372" s="34"/>
      <x:c r="E372" s="34"/>
      <x:c r="F372" s="35"/>
    </x:row>
    <x:row r="373" ht="24" customHeight="1">
      <x:c r="A373" s="34"/>
      <x:c r="B373" s="34"/>
      <x:c r="C373" s="34"/>
      <x:c r="D373" s="34"/>
      <x:c r="E373" s="34"/>
      <x:c r="F373" s="35"/>
    </x:row>
    <x:row r="374" ht="24" customHeight="1">
      <x:c r="A374" s="34"/>
      <x:c r="B374" s="34"/>
      <x:c r="C374" s="34"/>
      <x:c r="D374" s="34"/>
      <x:c r="E374" s="34"/>
      <x:c r="F374" s="35"/>
    </x:row>
    <x:row r="375" ht="24" customHeight="1">
      <x:c r="A375" s="34"/>
      <x:c r="B375" s="34"/>
      <x:c r="C375" s="34"/>
      <x:c r="D375" s="34"/>
      <x:c r="E375" s="34"/>
      <x:c r="F375" s="35"/>
    </x:row>
    <x:row r="376" ht="24" customHeight="1">
      <x:c r="A376" s="34"/>
      <x:c r="B376" s="34"/>
      <x:c r="C376" s="34"/>
      <x:c r="D376" s="34"/>
      <x:c r="E376" s="34"/>
      <x:c r="F376" s="35"/>
    </x:row>
    <x:row r="377" ht="24" customHeight="1">
      <x:c r="A377" s="34"/>
      <x:c r="B377" s="34"/>
      <x:c r="C377" s="34"/>
      <x:c r="D377" s="34"/>
      <x:c r="E377" s="34"/>
      <x:c r="F377" s="35"/>
    </x:row>
    <x:row r="378" ht="24" customHeight="1">
      <x:c r="A378" s="34"/>
      <x:c r="B378" s="34"/>
      <x:c r="C378" s="34"/>
      <x:c r="D378" s="34"/>
      <x:c r="E378" s="34"/>
      <x:c r="F378" s="35"/>
    </x:row>
    <x:row r="379" ht="24" customHeight="1">
      <x:c r="A379" s="34"/>
      <x:c r="B379" s="34"/>
      <x:c r="C379" s="34"/>
      <x:c r="D379" s="34"/>
      <x:c r="E379" s="34"/>
      <x:c r="F379" s="35"/>
    </x:row>
    <x:row r="380" ht="24" customHeight="1">
      <x:c r="A380" s="34"/>
      <x:c r="B380" s="34"/>
      <x:c r="C380" s="34"/>
      <x:c r="D380" s="34"/>
      <x:c r="E380" s="34"/>
      <x:c r="F380" s="35"/>
    </x:row>
    <x:row r="381" ht="24" customHeight="1">
      <x:c r="A381" s="34"/>
      <x:c r="B381" s="34"/>
      <x:c r="C381" s="34"/>
      <x:c r="D381" s="34"/>
      <x:c r="E381" s="34"/>
      <x:c r="F381" s="35"/>
    </x:row>
    <x:row r="382" ht="24" customHeight="1">
      <x:c r="A382" s="34"/>
      <x:c r="B382" s="34"/>
      <x:c r="C382" s="34"/>
      <x:c r="D382" s="34"/>
      <x:c r="E382" s="34"/>
      <x:c r="F382" s="35"/>
    </x:row>
    <x:row r="383" ht="24" customHeight="1">
      <x:c r="A383" s="34"/>
      <x:c r="B383" s="34"/>
      <x:c r="C383" s="34"/>
      <x:c r="D383" s="34"/>
      <x:c r="E383" s="34"/>
      <x:c r="F383" s="35"/>
    </x:row>
    <x:row r="384" ht="24" customHeight="1">
      <x:c r="A384" s="34"/>
      <x:c r="B384" s="34"/>
      <x:c r="C384" s="34"/>
      <x:c r="D384" s="34"/>
      <x:c r="E384" s="34"/>
      <x:c r="F384" s="35"/>
    </x:row>
    <x:row r="385" ht="24" customHeight="1">
      <x:c r="A385" s="34"/>
      <x:c r="B385" s="34"/>
      <x:c r="C385" s="34"/>
      <x:c r="D385" s="34"/>
      <x:c r="E385" s="34"/>
      <x:c r="F385" s="35"/>
    </x:row>
    <x:row r="386" ht="24" customHeight="1">
      <x:c r="A386" s="34"/>
      <x:c r="B386" s="34"/>
      <x:c r="C386" s="34"/>
      <x:c r="D386" s="34"/>
      <x:c r="E386" s="34"/>
      <x:c r="F386" s="35"/>
    </x:row>
    <x:row r="387" ht="24" customHeight="1">
      <x:c r="A387" s="34"/>
      <x:c r="B387" s="34"/>
      <x:c r="C387" s="34"/>
      <x:c r="D387" s="34"/>
      <x:c r="E387" s="34"/>
      <x:c r="F387" s="35"/>
    </x:row>
    <x:row r="388" ht="24" customHeight="1">
      <x:c r="A388" s="34"/>
      <x:c r="B388" s="34"/>
      <x:c r="C388" s="34"/>
      <x:c r="D388" s="34"/>
      <x:c r="E388" s="34"/>
      <x:c r="F388" s="35"/>
    </x:row>
    <x:row r="389" ht="24" customHeight="1">
      <x:c r="A389" s="34"/>
      <x:c r="B389" s="34"/>
      <x:c r="C389" s="34"/>
      <x:c r="D389" s="34"/>
      <x:c r="E389" s="34"/>
      <x:c r="F389" s="35"/>
    </x:row>
    <x:row r="390" ht="24" customHeight="1">
      <x:c r="A390" s="34"/>
      <x:c r="B390" s="34"/>
      <x:c r="C390" s="34"/>
      <x:c r="D390" s="34"/>
      <x:c r="E390" s="34"/>
      <x:c r="F390" s="35"/>
    </x:row>
    <x:row r="391" ht="24" customHeight="1">
      <x:c r="A391" s="34"/>
      <x:c r="B391" s="34"/>
      <x:c r="C391" s="34"/>
      <x:c r="D391" s="34"/>
      <x:c r="E391" s="34"/>
      <x:c r="F391" s="35"/>
    </x:row>
    <x:row r="392" ht="24" customHeight="1">
      <x:c r="A392" s="34"/>
      <x:c r="B392" s="34"/>
      <x:c r="C392" s="34"/>
      <x:c r="D392" s="34"/>
      <x:c r="E392" s="34"/>
      <x:c r="F392" s="35"/>
    </x:row>
    <x:row r="393" ht="24" customHeight="1">
      <x:c r="A393" s="34"/>
      <x:c r="B393" s="34"/>
      <x:c r="C393" s="34"/>
      <x:c r="D393" s="34"/>
      <x:c r="E393" s="34"/>
      <x:c r="F393" s="35"/>
    </x:row>
    <x:row r="394" ht="24" customHeight="1">
      <x:c r="A394" s="34"/>
      <x:c r="B394" s="34"/>
      <x:c r="C394" s="34"/>
      <x:c r="D394" s="34"/>
      <x:c r="E394" s="34"/>
      <x:c r="F394" s="35"/>
    </x:row>
    <x:row r="395" ht="24" customHeight="1">
      <x:c r="A395" s="34"/>
      <x:c r="B395" s="34"/>
      <x:c r="C395" s="34"/>
      <x:c r="D395" s="34"/>
      <x:c r="E395" s="34"/>
      <x:c r="F395" s="35"/>
    </x:row>
    <x:row r="396" ht="24" customHeight="1">
      <x:c r="A396" s="34"/>
      <x:c r="B396" s="34"/>
      <x:c r="C396" s="34"/>
      <x:c r="D396" s="34"/>
      <x:c r="E396" s="34"/>
      <x:c r="F396" s="35"/>
    </x:row>
    <x:row r="397" ht="24" customHeight="1">
      <x:c r="A397" s="34"/>
      <x:c r="B397" s="34"/>
      <x:c r="C397" s="34"/>
      <x:c r="D397" s="34"/>
      <x:c r="E397" s="34"/>
      <x:c r="F397" s="35"/>
    </x:row>
    <x:row r="398" ht="24" customHeight="1">
      <x:c r="A398" s="34"/>
      <x:c r="B398" s="34"/>
      <x:c r="C398" s="34"/>
      <x:c r="D398" s="34"/>
      <x:c r="E398" s="34"/>
      <x:c r="F398" s="35"/>
    </x:row>
    <x:row r="399" ht="24" customHeight="1">
      <x:c r="A399" s="34"/>
      <x:c r="B399" s="34"/>
      <x:c r="C399" s="34"/>
      <x:c r="D399" s="34"/>
      <x:c r="E399" s="34"/>
      <x:c r="F399" s="35"/>
    </x:row>
    <x:row r="400" ht="24" customHeight="1">
      <x:c r="A400" s="34"/>
      <x:c r="B400" s="34"/>
      <x:c r="C400" s="34"/>
      <x:c r="D400" s="34"/>
      <x:c r="E400" s="34"/>
      <x:c r="F400" s="35"/>
    </x:row>
    <x:row r="401" ht="24" customHeight="1">
      <x:c r="A401" s="34"/>
      <x:c r="B401" s="34"/>
      <x:c r="C401" s="34"/>
      <x:c r="D401" s="34"/>
      <x:c r="E401" s="34"/>
      <x:c r="F401" s="35"/>
    </x:row>
    <x:row r="402" ht="24" customHeight="1">
      <x:c r="A402" s="34"/>
      <x:c r="B402" s="34"/>
      <x:c r="C402" s="34"/>
      <x:c r="D402" s="34"/>
      <x:c r="E402" s="34"/>
      <x:c r="F402" s="35"/>
    </x:row>
    <x:row r="403" ht="24" customHeight="1">
      <x:c r="A403" s="34"/>
      <x:c r="B403" s="34"/>
      <x:c r="C403" s="34"/>
      <x:c r="D403" s="34"/>
      <x:c r="E403" s="34"/>
      <x:c r="F403" s="35"/>
    </x:row>
    <x:row r="404" ht="24" customHeight="1">
      <x:c r="A404" s="34"/>
      <x:c r="B404" s="34"/>
      <x:c r="C404" s="34"/>
      <x:c r="D404" s="34"/>
      <x:c r="E404" s="34"/>
      <x:c r="F404" s="35"/>
    </x:row>
    <x:row r="405" ht="24" customHeight="1">
      <x:c r="A405" s="34"/>
      <x:c r="B405" s="34"/>
      <x:c r="C405" s="34"/>
      <x:c r="D405" s="34"/>
      <x:c r="E405" s="34"/>
      <x:c r="F405" s="35"/>
    </x:row>
    <x:row r="406" ht="24" customHeight="1">
      <x:c r="A406" s="34"/>
      <x:c r="B406" s="34"/>
      <x:c r="C406" s="34"/>
      <x:c r="D406" s="34"/>
      <x:c r="E406" s="34"/>
      <x:c r="F406" s="35"/>
    </x:row>
    <x:row r="407" ht="24" customHeight="1">
      <x:c r="A407" s="34"/>
      <x:c r="B407" s="34"/>
      <x:c r="C407" s="34"/>
      <x:c r="D407" s="34"/>
      <x:c r="E407" s="34"/>
      <x:c r="F407" s="35"/>
    </x:row>
    <x:row r="408" ht="24" customHeight="1">
      <x:c r="A408" s="34"/>
      <x:c r="B408" s="34"/>
      <x:c r="C408" s="34"/>
      <x:c r="D408" s="34"/>
      <x:c r="E408" s="34"/>
      <x:c r="F408" s="35"/>
    </x:row>
    <x:row r="409" ht="24" customHeight="1">
      <x:c r="A409" s="34"/>
      <x:c r="B409" s="34"/>
      <x:c r="C409" s="34"/>
      <x:c r="D409" s="34"/>
      <x:c r="E409" s="34"/>
      <x:c r="F409" s="35"/>
    </x:row>
    <x:row r="410" ht="24" customHeight="1">
      <x:c r="A410" s="34"/>
      <x:c r="B410" s="34"/>
      <x:c r="C410" s="34"/>
      <x:c r="D410" s="34"/>
      <x:c r="E410" s="34"/>
      <x:c r="F410" s="35"/>
    </x:row>
    <x:row r="411" ht="24" customHeight="1">
      <x:c r="A411" s="34"/>
      <x:c r="B411" s="34"/>
      <x:c r="C411" s="34"/>
      <x:c r="D411" s="34"/>
      <x:c r="E411" s="34"/>
      <x:c r="F411" s="35"/>
    </x:row>
    <x:row r="412" ht="24" customHeight="1">
      <x:c r="A412" s="34"/>
      <x:c r="B412" s="34"/>
      <x:c r="C412" s="34"/>
      <x:c r="D412" s="34"/>
      <x:c r="E412" s="34"/>
      <x:c r="F412" s="35"/>
    </x:row>
    <x:row r="413" ht="24" customHeight="1">
      <x:c r="A413" s="34"/>
      <x:c r="B413" s="34"/>
      <x:c r="C413" s="34"/>
      <x:c r="D413" s="34"/>
      <x:c r="E413" s="34"/>
      <x:c r="F413" s="35"/>
    </x:row>
    <x:row r="414" ht="24" customHeight="1">
      <x:c r="A414" s="34"/>
      <x:c r="B414" s="34"/>
      <x:c r="C414" s="34"/>
      <x:c r="D414" s="34"/>
      <x:c r="E414" s="34"/>
      <x:c r="F414" s="35"/>
    </x:row>
    <x:row r="415" ht="24" customHeight="1">
      <x:c r="A415" s="34"/>
      <x:c r="B415" s="34"/>
      <x:c r="C415" s="34"/>
      <x:c r="D415" s="34"/>
      <x:c r="E415" s="34"/>
      <x:c r="F415" s="35"/>
    </x:row>
    <x:row r="416" ht="24" customHeight="1">
      <x:c r="A416" s="34"/>
      <x:c r="B416" s="34"/>
      <x:c r="C416" s="34"/>
      <x:c r="D416" s="34"/>
      <x:c r="E416" s="34"/>
      <x:c r="F416" s="35"/>
    </x:row>
    <x:row r="417" ht="24" customHeight="1">
      <x:c r="A417" s="34"/>
      <x:c r="B417" s="34"/>
      <x:c r="C417" s="34"/>
      <x:c r="D417" s="34"/>
      <x:c r="E417" s="34"/>
      <x:c r="F417" s="35"/>
    </x:row>
    <x:row r="418" ht="24" customHeight="1">
      <x:c r="A418" s="34"/>
      <x:c r="B418" s="34"/>
      <x:c r="C418" s="34"/>
      <x:c r="D418" s="34"/>
      <x:c r="E418" s="34"/>
      <x:c r="F418" s="35"/>
    </x:row>
    <x:row r="419" ht="24" customHeight="1">
      <x:c r="A419" s="34"/>
      <x:c r="B419" s="34"/>
      <x:c r="C419" s="34"/>
      <x:c r="D419" s="34"/>
      <x:c r="E419" s="34"/>
      <x:c r="F419" s="35"/>
    </x:row>
    <x:row r="420" ht="24" customHeight="1">
      <x:c r="A420" s="34"/>
      <x:c r="B420" s="34"/>
      <x:c r="C420" s="34"/>
      <x:c r="D420" s="34"/>
      <x:c r="E420" s="34"/>
      <x:c r="F420" s="35"/>
    </x:row>
    <x:row r="421" ht="24" customHeight="1">
      <x:c r="A421" s="34"/>
      <x:c r="B421" s="34"/>
      <x:c r="C421" s="34"/>
      <x:c r="D421" s="34"/>
      <x:c r="E421" s="34"/>
      <x:c r="F421" s="35"/>
    </x:row>
    <x:row r="422" ht="24" customHeight="1">
      <x:c r="A422" s="34"/>
      <x:c r="B422" s="34"/>
      <x:c r="C422" s="34"/>
      <x:c r="D422" s="34"/>
      <x:c r="E422" s="34"/>
      <x:c r="F422" s="35"/>
    </x:row>
    <x:row r="423" ht="24" customHeight="1">
      <x:c r="A423" s="34"/>
      <x:c r="B423" s="34"/>
      <x:c r="C423" s="34"/>
      <x:c r="D423" s="34"/>
      <x:c r="E423" s="34"/>
      <x:c r="F423" s="35"/>
    </x:row>
    <x:row r="424" ht="24" customHeight="1">
      <x:c r="A424" s="34"/>
      <x:c r="B424" s="34"/>
      <x:c r="C424" s="34"/>
      <x:c r="D424" s="34"/>
      <x:c r="E424" s="34"/>
      <x:c r="F424" s="35"/>
    </x:row>
    <x:row r="425" ht="24" customHeight="1">
      <x:c r="A425" s="34"/>
      <x:c r="B425" s="34"/>
      <x:c r="C425" s="34"/>
      <x:c r="D425" s="34"/>
      <x:c r="E425" s="34"/>
      <x:c r="F425" s="35"/>
    </x:row>
    <x:row r="426" ht="24" customHeight="1">
      <x:c r="A426" s="34"/>
      <x:c r="B426" s="34"/>
      <x:c r="C426" s="34"/>
      <x:c r="D426" s="34"/>
      <x:c r="E426" s="34"/>
      <x:c r="F426" s="35"/>
    </x:row>
    <x:row r="427" ht="24" customHeight="1">
      <x:c r="A427" s="34"/>
      <x:c r="B427" s="34"/>
      <x:c r="C427" s="34"/>
      <x:c r="D427" s="34"/>
      <x:c r="E427" s="34"/>
      <x:c r="F427" s="35"/>
    </x:row>
    <x:row r="428" ht="24" customHeight="1">
      <x:c r="A428" s="34"/>
      <x:c r="B428" s="34"/>
      <x:c r="C428" s="34"/>
      <x:c r="D428" s="34"/>
      <x:c r="E428" s="34"/>
      <x:c r="F428" s="35"/>
    </x:row>
    <x:row r="429" ht="24" customHeight="1">
      <x:c r="A429" s="34"/>
      <x:c r="B429" s="34"/>
      <x:c r="C429" s="34"/>
      <x:c r="D429" s="34"/>
      <x:c r="E429" s="34"/>
      <x:c r="F429" s="35"/>
    </x:row>
    <x:row r="430" ht="24" customHeight="1">
      <x:c r="A430" s="34"/>
      <x:c r="B430" s="34"/>
      <x:c r="C430" s="34"/>
      <x:c r="D430" s="34"/>
      <x:c r="E430" s="34"/>
      <x:c r="F430" s="35"/>
    </x:row>
    <x:row r="431" ht="24" customHeight="1">
      <x:c r="A431" s="34"/>
      <x:c r="B431" s="34"/>
      <x:c r="C431" s="34"/>
      <x:c r="D431" s="34"/>
      <x:c r="E431" s="34"/>
      <x:c r="F431" s="35"/>
    </x:row>
    <x:row r="432" ht="24" customHeight="1">
      <x:c r="A432" s="34"/>
      <x:c r="B432" s="34"/>
      <x:c r="C432" s="34"/>
      <x:c r="D432" s="34"/>
      <x:c r="E432" s="34"/>
      <x:c r="F432" s="35"/>
    </x:row>
    <x:row r="433" ht="24" customHeight="1">
      <x:c r="A433" s="34"/>
      <x:c r="B433" s="34"/>
      <x:c r="C433" s="34"/>
      <x:c r="D433" s="34"/>
      <x:c r="E433" s="34"/>
      <x:c r="F433" s="35"/>
    </x:row>
    <x:row r="434" ht="24" customHeight="1">
      <x:c r="A434" s="34"/>
      <x:c r="B434" s="34"/>
      <x:c r="C434" s="34"/>
      <x:c r="D434" s="34"/>
      <x:c r="E434" s="34"/>
      <x:c r="F434" s="35"/>
    </x:row>
    <x:row r="435" ht="24" customHeight="1">
      <x:c r="A435" s="34"/>
      <x:c r="B435" s="34"/>
      <x:c r="C435" s="34"/>
      <x:c r="D435" s="34"/>
      <x:c r="E435" s="34"/>
      <x:c r="F435" s="35"/>
    </x:row>
    <x:row r="436" ht="24" customHeight="1">
      <x:c r="A436" s="34"/>
      <x:c r="B436" s="34"/>
      <x:c r="C436" s="34"/>
      <x:c r="D436" s="34"/>
      <x:c r="E436" s="34"/>
      <x:c r="F436" s="35"/>
    </x:row>
    <x:row r="437" ht="24" customHeight="1">
      <x:c r="A437" s="34"/>
      <x:c r="B437" s="34"/>
      <x:c r="C437" s="34"/>
      <x:c r="D437" s="34"/>
      <x:c r="E437" s="34"/>
      <x:c r="F437" s="35"/>
    </x:row>
    <x:row r="438" ht="24" customHeight="1">
      <x:c r="A438" s="34"/>
      <x:c r="B438" s="34"/>
      <x:c r="C438" s="34"/>
      <x:c r="D438" s="34"/>
      <x:c r="E438" s="34"/>
      <x:c r="F438" s="35"/>
    </x:row>
    <x:row r="439" ht="24" customHeight="1">
      <x:c r="A439" s="34"/>
      <x:c r="B439" s="34"/>
      <x:c r="C439" s="34"/>
      <x:c r="D439" s="34"/>
      <x:c r="E439" s="34"/>
      <x:c r="F439" s="35"/>
    </x:row>
    <x:row r="440" ht="24" customHeight="1">
      <x:c r="A440" s="34"/>
      <x:c r="B440" s="34"/>
      <x:c r="C440" s="34"/>
      <x:c r="D440" s="34"/>
      <x:c r="E440" s="34"/>
      <x:c r="F440" s="35"/>
    </x:row>
    <x:row r="441" ht="24" customHeight="1">
      <x:c r="A441" s="34"/>
      <x:c r="B441" s="34"/>
      <x:c r="C441" s="34"/>
      <x:c r="D441" s="34"/>
      <x:c r="E441" s="34"/>
      <x:c r="F441" s="35"/>
    </x:row>
    <x:row r="442" ht="24" customHeight="1">
      <x:c r="A442" s="34"/>
      <x:c r="B442" s="34"/>
      <x:c r="C442" s="34"/>
      <x:c r="D442" s="34"/>
      <x:c r="E442" s="34"/>
      <x:c r="F442" s="35"/>
    </x:row>
    <x:row r="443" ht="24" customHeight="1">
      <x:c r="A443" s="34"/>
      <x:c r="B443" s="34"/>
      <x:c r="C443" s="34"/>
      <x:c r="D443" s="34"/>
      <x:c r="E443" s="34"/>
      <x:c r="F443" s="35"/>
    </x:row>
    <x:row r="444" ht="24" customHeight="1">
      <x:c r="A444" s="34"/>
      <x:c r="B444" s="34"/>
      <x:c r="C444" s="34"/>
      <x:c r="D444" s="34"/>
      <x:c r="E444" s="34"/>
      <x:c r="F444" s="35"/>
    </x:row>
    <x:row r="445" ht="24" customHeight="1">
      <x:c r="A445" s="34"/>
      <x:c r="B445" s="34"/>
      <x:c r="C445" s="34"/>
      <x:c r="D445" s="34"/>
      <x:c r="E445" s="34"/>
      <x:c r="F445" s="35"/>
    </x:row>
    <x:row r="446" ht="24" customHeight="1">
      <x:c r="A446" s="34"/>
      <x:c r="B446" s="34"/>
      <x:c r="C446" s="34"/>
      <x:c r="D446" s="34"/>
      <x:c r="E446" s="34"/>
      <x:c r="F446" s="35"/>
    </x:row>
    <x:row r="447" ht="24" customHeight="1">
      <x:c r="A447" s="34"/>
      <x:c r="B447" s="34"/>
      <x:c r="C447" s="34"/>
      <x:c r="D447" s="34"/>
      <x:c r="E447" s="34"/>
      <x:c r="F447" s="35"/>
    </x:row>
    <x:row r="448" ht="24" customHeight="1">
      <x:c r="A448" s="34"/>
      <x:c r="B448" s="34"/>
      <x:c r="C448" s="34"/>
      <x:c r="D448" s="34"/>
      <x:c r="E448" s="34"/>
      <x:c r="F448" s="35"/>
    </x:row>
    <x:row r="449" ht="24" customHeight="1">
      <x:c r="A449" s="34"/>
      <x:c r="B449" s="34"/>
      <x:c r="C449" s="34"/>
      <x:c r="D449" s="34"/>
      <x:c r="E449" s="34"/>
      <x:c r="F449" s="35"/>
    </x:row>
    <x:row r="450" ht="24" customHeight="1">
      <x:c r="A450" s="34"/>
      <x:c r="B450" s="34"/>
      <x:c r="C450" s="34"/>
      <x:c r="D450" s="34"/>
      <x:c r="E450" s="34"/>
      <x:c r="F450" s="35"/>
    </x:row>
    <x:row r="451" ht="24" customHeight="1">
      <x:c r="A451" s="34"/>
      <x:c r="B451" s="34"/>
      <x:c r="C451" s="34"/>
      <x:c r="D451" s="34"/>
      <x:c r="E451" s="34"/>
      <x:c r="F451" s="35"/>
    </x:row>
    <x:row r="452" ht="24" customHeight="1">
      <x:c r="A452" s="34"/>
      <x:c r="B452" s="34"/>
      <x:c r="C452" s="34"/>
      <x:c r="D452" s="34"/>
      <x:c r="E452" s="34"/>
      <x:c r="F452" s="35"/>
    </x:row>
    <x:row r="453" ht="24" customHeight="1">
      <x:c r="A453" s="34"/>
      <x:c r="B453" s="34"/>
      <x:c r="C453" s="34"/>
      <x:c r="D453" s="34"/>
      <x:c r="E453" s="34"/>
      <x:c r="F453" s="35"/>
    </x:row>
    <x:row r="454" ht="24" customHeight="1">
      <x:c r="A454" s="34"/>
      <x:c r="B454" s="34"/>
      <x:c r="C454" s="34"/>
      <x:c r="D454" s="34"/>
      <x:c r="E454" s="34"/>
      <x:c r="F454" s="35"/>
    </x:row>
    <x:row r="455" ht="24" customHeight="1">
      <x:c r="A455" s="34"/>
      <x:c r="B455" s="34"/>
      <x:c r="C455" s="34"/>
      <x:c r="D455" s="34"/>
      <x:c r="E455" s="34"/>
      <x:c r="F455" s="35"/>
    </x:row>
    <x:row r="456" ht="24" customHeight="1">
      <x:c r="A456" s="34"/>
      <x:c r="B456" s="34"/>
      <x:c r="C456" s="34"/>
      <x:c r="D456" s="34"/>
      <x:c r="E456" s="34"/>
      <x:c r="F456" s="35"/>
    </x:row>
    <x:row r="457" ht="24" customHeight="1">
      <x:c r="A457" s="34"/>
      <x:c r="B457" s="34"/>
      <x:c r="C457" s="34"/>
      <x:c r="D457" s="34"/>
      <x:c r="E457" s="34"/>
      <x:c r="F457" s="35"/>
    </x:row>
    <x:row r="458" ht="24" customHeight="1">
      <x:c r="A458" s="34"/>
      <x:c r="B458" s="34"/>
      <x:c r="C458" s="34"/>
      <x:c r="D458" s="34"/>
      <x:c r="E458" s="34"/>
      <x:c r="F458" s="35"/>
    </x:row>
    <x:row r="459" ht="24" customHeight="1">
      <x:c r="A459" s="34"/>
      <x:c r="B459" s="34"/>
      <x:c r="C459" s="34"/>
      <x:c r="D459" s="34"/>
      <x:c r="E459" s="34"/>
      <x:c r="F459" s="35"/>
    </x:row>
    <x:row r="460" ht="24" customHeight="1">
      <x:c r="A460" s="34"/>
      <x:c r="B460" s="34"/>
      <x:c r="C460" s="34"/>
      <x:c r="D460" s="34"/>
      <x:c r="E460" s="34"/>
      <x:c r="F460" s="35"/>
    </x:row>
    <x:row r="461" ht="24" customHeight="1">
      <x:c r="A461" s="34"/>
      <x:c r="B461" s="34"/>
      <x:c r="C461" s="34"/>
      <x:c r="D461" s="34"/>
      <x:c r="E461" s="34"/>
      <x:c r="F461" s="35"/>
    </x:row>
    <x:row r="462" ht="24" customHeight="1">
      <x:c r="A462" s="34"/>
      <x:c r="B462" s="34"/>
      <x:c r="C462" s="34"/>
      <x:c r="D462" s="34"/>
      <x:c r="E462" s="34"/>
      <x:c r="F462" s="35"/>
    </x:row>
    <x:row r="463" ht="24" customHeight="1">
      <x:c r="A463" s="34"/>
      <x:c r="B463" s="34"/>
      <x:c r="C463" s="34"/>
      <x:c r="D463" s="34"/>
      <x:c r="E463" s="34"/>
      <x:c r="F463" s="35"/>
    </x:row>
    <x:row r="464" ht="24" customHeight="1">
      <x:c r="A464" s="34"/>
      <x:c r="B464" s="34"/>
      <x:c r="C464" s="34"/>
      <x:c r="D464" s="34"/>
      <x:c r="E464" s="34"/>
      <x:c r="F464" s="35"/>
    </x:row>
    <x:row r="465" ht="24" customHeight="1">
      <x:c r="A465" s="34"/>
      <x:c r="B465" s="34"/>
      <x:c r="C465" s="34"/>
      <x:c r="D465" s="34"/>
      <x:c r="E465" s="34"/>
      <x:c r="F465" s="35"/>
    </x:row>
    <x:row r="466" ht="24" customHeight="1">
      <x:c r="A466" s="34"/>
      <x:c r="B466" s="34"/>
      <x:c r="C466" s="34"/>
      <x:c r="D466" s="34"/>
      <x:c r="E466" s="34"/>
      <x:c r="F466" s="35"/>
    </x:row>
    <x:row r="467" ht="24" customHeight="1">
      <x:c r="A467" s="34"/>
      <x:c r="B467" s="34"/>
      <x:c r="C467" s="34"/>
      <x:c r="D467" s="34"/>
      <x:c r="E467" s="34"/>
      <x:c r="F467" s="35"/>
    </x:row>
    <x:row r="468" ht="24" customHeight="1">
      <x:c r="A468" s="34"/>
      <x:c r="B468" s="34"/>
      <x:c r="C468" s="34"/>
      <x:c r="D468" s="34"/>
      <x:c r="E468" s="34"/>
      <x:c r="F468" s="35"/>
    </x:row>
    <x:row r="469" ht="24" customHeight="1">
      <x:c r="A469" s="34"/>
      <x:c r="B469" s="34"/>
      <x:c r="C469" s="34"/>
      <x:c r="D469" s="34"/>
      <x:c r="E469" s="34"/>
      <x:c r="F469" s="35"/>
    </x:row>
    <x:row r="470" ht="24" customHeight="1">
      <x:c r="A470" s="34"/>
      <x:c r="B470" s="34"/>
      <x:c r="C470" s="34"/>
      <x:c r="D470" s="34"/>
      <x:c r="E470" s="34"/>
      <x:c r="F470" s="35"/>
    </x:row>
    <x:row r="471" ht="24" customHeight="1">
      <x:c r="A471" s="34"/>
      <x:c r="B471" s="34"/>
      <x:c r="C471" s="34"/>
      <x:c r="D471" s="34"/>
      <x:c r="E471" s="34"/>
      <x:c r="F471" s="35"/>
    </x:row>
    <x:row r="472" ht="24" customHeight="1">
      <x:c r="A472" s="34"/>
      <x:c r="B472" s="34"/>
      <x:c r="C472" s="34"/>
      <x:c r="D472" s="34"/>
      <x:c r="E472" s="34"/>
      <x:c r="F472" s="35"/>
    </x:row>
    <x:row r="473" ht="24" customHeight="1">
      <x:c r="A473" s="34"/>
      <x:c r="B473" s="34"/>
      <x:c r="C473" s="34"/>
      <x:c r="D473" s="34"/>
      <x:c r="E473" s="34"/>
      <x:c r="F473" s="35"/>
    </x:row>
    <x:row r="474" ht="24" customHeight="1">
      <x:c r="A474" s="34"/>
      <x:c r="B474" s="34"/>
      <x:c r="C474" s="34"/>
      <x:c r="D474" s="34"/>
      <x:c r="E474" s="34"/>
      <x:c r="F474" s="35"/>
    </x:row>
    <x:row r="475" ht="24" customHeight="1">
      <x:c r="A475" s="34"/>
      <x:c r="B475" s="34"/>
      <x:c r="C475" s="34"/>
      <x:c r="D475" s="34"/>
      <x:c r="E475" s="34"/>
      <x:c r="F475" s="35"/>
    </x:row>
    <x:row r="476" ht="24" customHeight="1">
      <x:c r="A476" s="34"/>
      <x:c r="B476" s="34"/>
      <x:c r="C476" s="34"/>
      <x:c r="D476" s="34"/>
      <x:c r="E476" s="34"/>
      <x:c r="F476" s="35"/>
    </x:row>
    <x:row r="477" ht="24" customHeight="1">
      <x:c r="A477" s="34"/>
      <x:c r="B477" s="34"/>
      <x:c r="C477" s="34"/>
      <x:c r="D477" s="34"/>
      <x:c r="E477" s="34"/>
      <x:c r="F477" s="35"/>
    </x:row>
    <x:row r="478" ht="24" customHeight="1">
      <x:c r="A478" s="34"/>
      <x:c r="B478" s="34"/>
      <x:c r="C478" s="34"/>
      <x:c r="D478" s="34"/>
      <x:c r="E478" s="34"/>
      <x:c r="F478" s="35"/>
    </x:row>
    <x:row r="479" ht="24" customHeight="1">
      <x:c r="A479" s="34"/>
      <x:c r="B479" s="34"/>
      <x:c r="C479" s="34"/>
      <x:c r="D479" s="34"/>
      <x:c r="E479" s="34"/>
      <x:c r="F479" s="35"/>
    </x:row>
    <x:row r="480" ht="24" customHeight="1">
      <x:c r="A480" s="34"/>
      <x:c r="B480" s="34"/>
      <x:c r="C480" s="34"/>
      <x:c r="D480" s="34"/>
      <x:c r="E480" s="34"/>
      <x:c r="F480" s="35"/>
    </x:row>
    <x:row r="481" ht="24" customHeight="1">
      <x:c r="A481" s="34"/>
      <x:c r="B481" s="34"/>
      <x:c r="C481" s="34"/>
      <x:c r="D481" s="34"/>
      <x:c r="E481" s="34"/>
      <x:c r="F481" s="35"/>
    </x:row>
    <x:row r="482" ht="24" customHeight="1">
      <x:c r="A482" s="34"/>
      <x:c r="B482" s="34"/>
      <x:c r="C482" s="34"/>
      <x:c r="D482" s="34"/>
      <x:c r="E482" s="34"/>
      <x:c r="F482" s="35"/>
    </x:row>
    <x:row r="483" ht="24" customHeight="1">
      <x:c r="A483" s="34"/>
      <x:c r="B483" s="34"/>
      <x:c r="C483" s="34"/>
      <x:c r="D483" s="34"/>
      <x:c r="E483" s="34"/>
      <x:c r="F483" s="35"/>
    </x:row>
    <x:row r="484" ht="24" customHeight="1">
      <x:c r="A484" s="34"/>
      <x:c r="B484" s="34"/>
      <x:c r="C484" s="34"/>
      <x:c r="D484" s="34"/>
      <x:c r="E484" s="34"/>
      <x:c r="F484" s="35"/>
    </x:row>
    <x:row r="485" ht="24" customHeight="1">
      <x:c r="A485" s="34"/>
      <x:c r="B485" s="34"/>
      <x:c r="C485" s="34"/>
      <x:c r="D485" s="34"/>
      <x:c r="E485" s="34"/>
      <x:c r="F485" s="35"/>
    </x:row>
    <x:row r="486" ht="24" customHeight="1">
      <x:c r="A486" s="34"/>
      <x:c r="B486" s="34"/>
      <x:c r="C486" s="34"/>
      <x:c r="D486" s="34"/>
      <x:c r="E486" s="34"/>
      <x:c r="F486" s="35"/>
    </x:row>
    <x:row r="487" ht="24" customHeight="1">
      <x:c r="A487" s="34"/>
      <x:c r="B487" s="34"/>
      <x:c r="C487" s="34"/>
      <x:c r="D487" s="34"/>
      <x:c r="E487" s="34"/>
      <x:c r="F487" s="35"/>
    </x:row>
    <x:row r="488" ht="24" customHeight="1">
      <x:c r="A488" s="34"/>
      <x:c r="B488" s="34"/>
      <x:c r="C488" s="34"/>
      <x:c r="D488" s="34"/>
      <x:c r="E488" s="34"/>
      <x:c r="F488" s="35"/>
    </x:row>
    <x:row r="489" ht="24" customHeight="1">
      <x:c r="A489" s="34"/>
      <x:c r="B489" s="34"/>
      <x:c r="C489" s="34"/>
      <x:c r="D489" s="34"/>
      <x:c r="E489" s="34"/>
      <x:c r="F489" s="35"/>
    </x:row>
    <x:row r="490" ht="24" customHeight="1">
      <x:c r="A490" s="34"/>
      <x:c r="B490" s="34"/>
      <x:c r="C490" s="34"/>
      <x:c r="D490" s="34"/>
      <x:c r="E490" s="34"/>
      <x:c r="F490" s="35"/>
    </x:row>
    <x:row r="491" ht="24" customHeight="1">
      <x:c r="A491" s="34"/>
      <x:c r="B491" s="34"/>
      <x:c r="C491" s="34"/>
      <x:c r="D491" s="34"/>
      <x:c r="E491" s="34"/>
      <x:c r="F491" s="35"/>
    </x:row>
    <x:row r="492" ht="24" customHeight="1">
      <x:c r="A492" s="34"/>
      <x:c r="B492" s="34"/>
      <x:c r="C492" s="34"/>
      <x:c r="D492" s="34"/>
      <x:c r="E492" s="34"/>
      <x:c r="F492" s="35"/>
    </x:row>
    <x:row r="493" ht="24" customHeight="1">
      <x:c r="A493" s="34"/>
      <x:c r="B493" s="34"/>
      <x:c r="C493" s="34"/>
      <x:c r="D493" s="34"/>
      <x:c r="E493" s="34"/>
      <x:c r="F493" s="35"/>
    </x:row>
    <x:row r="494" ht="24" customHeight="1">
      <x:c r="A494" s="34"/>
      <x:c r="B494" s="34"/>
      <x:c r="C494" s="34"/>
      <x:c r="D494" s="34"/>
      <x:c r="E494" s="34"/>
      <x:c r="F494" s="35"/>
    </x:row>
    <x:row r="495" ht="24" customHeight="1">
      <x:c r="A495" s="34"/>
      <x:c r="B495" s="34"/>
      <x:c r="C495" s="34"/>
      <x:c r="D495" s="34"/>
      <x:c r="E495" s="34"/>
      <x:c r="F495" s="35"/>
    </x:row>
    <x:row r="496" ht="24" customHeight="1">
      <x:c r="A496" s="34"/>
      <x:c r="B496" s="34"/>
      <x:c r="C496" s="34"/>
      <x:c r="D496" s="34"/>
      <x:c r="E496" s="34"/>
      <x:c r="F496" s="35"/>
    </x:row>
    <x:row r="497" ht="24" customHeight="1">
      <x:c r="A497" s="34"/>
      <x:c r="B497" s="34"/>
      <x:c r="C497" s="34"/>
      <x:c r="D497" s="34"/>
      <x:c r="E497" s="34"/>
      <x:c r="F497" s="35"/>
    </x:row>
    <x:row r="498" ht="24" customHeight="1">
      <x:c r="A498" s="34"/>
      <x:c r="B498" s="34"/>
      <x:c r="C498" s="34"/>
      <x:c r="D498" s="34"/>
      <x:c r="E498" s="34"/>
      <x:c r="F498" s="35"/>
    </x:row>
    <x:row r="499" ht="24" customHeight="1">
      <x:c r="A499" s="34"/>
      <x:c r="B499" s="34"/>
      <x:c r="C499" s="34"/>
      <x:c r="D499" s="34"/>
      <x:c r="E499" s="34"/>
      <x:c r="F499" s="35"/>
    </x:row>
    <x:row r="500" ht="24" customHeight="1">
      <x:c r="A500" s="34"/>
      <x:c r="B500" s="34"/>
      <x:c r="C500" s="34"/>
      <x:c r="D500" s="34"/>
      <x:c r="E500" s="34"/>
      <x:c r="F500" s="35"/>
    </x:row>
    <x:row r="501" ht="24" customHeight="1">
      <x:c r="A501" s="34"/>
      <x:c r="B501" s="34"/>
      <x:c r="C501" s="34"/>
      <x:c r="D501" s="34"/>
      <x:c r="E501" s="34"/>
      <x:c r="F501" s="35"/>
    </x:row>
    <x:row r="502" ht="24" customHeight="1">
      <x:c r="A502" s="34"/>
      <x:c r="B502" s="34"/>
      <x:c r="C502" s="34"/>
      <x:c r="D502" s="34"/>
      <x:c r="E502" s="34"/>
      <x:c r="F502" s="35"/>
    </x:row>
    <x:row r="503" ht="24" customHeight="1">
      <x:c r="A503" s="34"/>
      <x:c r="B503" s="34"/>
      <x:c r="C503" s="34"/>
      <x:c r="D503" s="34"/>
      <x:c r="E503" s="34"/>
      <x:c r="F503" s="35"/>
    </x:row>
    <x:row r="504" ht="24" customHeight="1">
      <x:c r="A504" s="34"/>
      <x:c r="B504" s="34"/>
      <x:c r="C504" s="34"/>
      <x:c r="D504" s="34"/>
      <x:c r="E504" s="34"/>
      <x:c r="F504" s="35"/>
    </x:row>
    <x:row r="505" ht="24" customHeight="1">
      <x:c r="A505" s="34"/>
      <x:c r="B505" s="34"/>
      <x:c r="C505" s="34"/>
      <x:c r="D505" s="34"/>
      <x:c r="E505" s="34"/>
      <x:c r="F505" s="35"/>
    </x:row>
    <x:row r="506" ht="24" customHeight="1">
      <x:c r="A506" s="34"/>
      <x:c r="B506" s="34"/>
      <x:c r="C506" s="34"/>
      <x:c r="D506" s="34"/>
      <x:c r="E506" s="34"/>
      <x:c r="F506" s="35"/>
    </x:row>
    <x:row r="507" ht="24" customHeight="1">
      <x:c r="A507" s="34"/>
      <x:c r="B507" s="34"/>
      <x:c r="C507" s="34"/>
      <x:c r="D507" s="34"/>
      <x:c r="E507" s="34"/>
      <x:c r="F507" s="35"/>
    </x:row>
    <x:row r="508" ht="24" customHeight="1">
      <x:c r="A508" s="34"/>
      <x:c r="B508" s="34"/>
      <x:c r="C508" s="34"/>
      <x:c r="D508" s="34"/>
      <x:c r="E508" s="34"/>
      <x:c r="F508" s="35"/>
    </x:row>
    <x:row r="509" ht="24" customHeight="1">
      <x:c r="A509" s="34"/>
      <x:c r="B509" s="34"/>
      <x:c r="C509" s="34"/>
      <x:c r="D509" s="34"/>
      <x:c r="E509" s="34"/>
      <x:c r="F509" s="35"/>
    </x:row>
    <x:row r="510" ht="24" customHeight="1">
      <x:c r="A510" s="34"/>
      <x:c r="B510" s="34"/>
      <x:c r="C510" s="34"/>
      <x:c r="D510" s="34"/>
      <x:c r="E510" s="34"/>
      <x:c r="F510" s="35"/>
    </x:row>
    <x:row r="511" ht="24" customHeight="1">
      <x:c r="A511" s="34"/>
      <x:c r="B511" s="34"/>
      <x:c r="C511" s="34"/>
      <x:c r="D511" s="34"/>
      <x:c r="E511" s="34"/>
      <x:c r="F511" s="35"/>
    </x:row>
    <x:row r="512" ht="24" customHeight="1">
      <x:c r="A512" s="34"/>
      <x:c r="B512" s="34"/>
      <x:c r="C512" s="34"/>
      <x:c r="D512" s="34"/>
      <x:c r="E512" s="34"/>
      <x:c r="F512" s="35"/>
    </x:row>
    <x:row r="513" ht="24" customHeight="1">
      <x:c r="A513" s="34"/>
      <x:c r="B513" s="34"/>
      <x:c r="C513" s="34"/>
      <x:c r="D513" s="34"/>
      <x:c r="E513" s="34"/>
      <x:c r="F513" s="35"/>
    </x:row>
    <x:row r="514" ht="24" customHeight="1">
      <x:c r="A514" s="34"/>
      <x:c r="B514" s="34"/>
      <x:c r="C514" s="34"/>
      <x:c r="D514" s="34"/>
      <x:c r="E514" s="34"/>
      <x:c r="F514" s="35"/>
    </x:row>
    <x:row r="515" ht="24" customHeight="1">
      <x:c r="A515" s="34"/>
      <x:c r="B515" s="34"/>
      <x:c r="C515" s="34"/>
      <x:c r="D515" s="34"/>
      <x:c r="E515" s="34"/>
      <x:c r="F515" s="35"/>
    </x:row>
    <x:row r="516" ht="24" customHeight="1">
      <x:c r="A516" s="34"/>
      <x:c r="B516" s="34"/>
      <x:c r="C516" s="34"/>
      <x:c r="D516" s="34"/>
      <x:c r="E516" s="34"/>
      <x:c r="F516" s="35"/>
    </x:row>
    <x:row r="517" ht="24" customHeight="1">
      <x:c r="A517" s="34"/>
      <x:c r="B517" s="34"/>
      <x:c r="C517" s="34"/>
      <x:c r="D517" s="34"/>
      <x:c r="E517" s="34"/>
      <x:c r="F517" s="35"/>
    </x:row>
    <x:row r="518" ht="24" customHeight="1">
      <x:c r="A518" s="34"/>
      <x:c r="B518" s="34"/>
      <x:c r="C518" s="34"/>
      <x:c r="D518" s="34"/>
      <x:c r="E518" s="34"/>
      <x:c r="F518" s="35"/>
    </x:row>
    <x:row r="519" ht="24" customHeight="1">
      <x:c r="A519" s="34"/>
      <x:c r="B519" s="34"/>
      <x:c r="C519" s="34"/>
      <x:c r="D519" s="34"/>
      <x:c r="E519" s="34"/>
      <x:c r="F519" s="35"/>
    </x:row>
    <x:row r="520" ht="24" customHeight="1">
      <x:c r="A520" s="34"/>
      <x:c r="B520" s="34"/>
      <x:c r="C520" s="34"/>
      <x:c r="D520" s="34"/>
      <x:c r="E520" s="34"/>
      <x:c r="F520" s="35"/>
    </x:row>
    <x:row r="521" ht="24" customHeight="1">
      <x:c r="A521" s="34"/>
      <x:c r="B521" s="34"/>
      <x:c r="C521" s="34"/>
      <x:c r="D521" s="34"/>
      <x:c r="E521" s="34"/>
      <x:c r="F521" s="35"/>
    </x:row>
    <x:row r="522" ht="24" customHeight="1">
      <x:c r="A522" s="34"/>
      <x:c r="B522" s="34"/>
      <x:c r="C522" s="34"/>
      <x:c r="D522" s="34"/>
      <x:c r="E522" s="34"/>
      <x:c r="F522" s="35"/>
    </x:row>
    <x:row r="523" ht="24" customHeight="1">
      <x:c r="A523" s="34"/>
      <x:c r="B523" s="34"/>
      <x:c r="C523" s="34"/>
      <x:c r="D523" s="34"/>
      <x:c r="E523" s="34"/>
      <x:c r="F523" s="35"/>
    </x:row>
    <x:row r="524" ht="24" customHeight="1">
      <x:c r="A524" s="34"/>
      <x:c r="B524" s="34"/>
      <x:c r="C524" s="34"/>
      <x:c r="D524" s="34"/>
      <x:c r="E524" s="34"/>
      <x:c r="F524" s="35"/>
    </x:row>
    <x:row r="525" ht="24" customHeight="1">
      <x:c r="A525" s="34"/>
      <x:c r="B525" s="34"/>
      <x:c r="C525" s="34"/>
      <x:c r="D525" s="34"/>
      <x:c r="E525" s="34"/>
      <x:c r="F525" s="35"/>
    </x:row>
    <x:row r="526" ht="24" customHeight="1">
      <x:c r="A526" s="34"/>
      <x:c r="B526" s="34"/>
      <x:c r="C526" s="34"/>
      <x:c r="D526" s="34"/>
      <x:c r="E526" s="34"/>
      <x:c r="F526" s="35"/>
    </x:row>
    <x:row r="527" ht="24" customHeight="1">
      <x:c r="A527" s="34"/>
      <x:c r="B527" s="34"/>
      <x:c r="C527" s="34"/>
      <x:c r="D527" s="34"/>
      <x:c r="E527" s="34"/>
      <x:c r="F527" s="35"/>
    </x:row>
    <x:row r="528" ht="24" customHeight="1">
      <x:c r="A528" s="34"/>
      <x:c r="B528" s="34"/>
      <x:c r="C528" s="34"/>
      <x:c r="D528" s="34"/>
      <x:c r="E528" s="34"/>
      <x:c r="F528" s="35"/>
    </x:row>
    <x:row r="529" ht="24" customHeight="1">
      <x:c r="A529" s="34"/>
      <x:c r="B529" s="34"/>
      <x:c r="C529" s="34"/>
      <x:c r="D529" s="34"/>
      <x:c r="E529" s="34"/>
      <x:c r="F529" s="35"/>
    </x:row>
    <x:row r="530" ht="24" customHeight="1">
      <x:c r="A530" s="34"/>
      <x:c r="B530" s="34"/>
      <x:c r="C530" s="34"/>
      <x:c r="D530" s="34"/>
      <x:c r="E530" s="34"/>
      <x:c r="F530" s="35"/>
    </x:row>
    <x:row r="531" ht="24" customHeight="1">
      <x:c r="A531" s="34"/>
      <x:c r="B531" s="34"/>
      <x:c r="C531" s="34"/>
      <x:c r="D531" s="34"/>
      <x:c r="E531" s="34"/>
      <x:c r="F531" s="35"/>
    </x:row>
    <x:row r="532" ht="24" customHeight="1">
      <x:c r="A532" s="34"/>
      <x:c r="B532" s="34"/>
      <x:c r="C532" s="34"/>
      <x:c r="D532" s="34"/>
      <x:c r="E532" s="34"/>
      <x:c r="F532" s="35"/>
    </x:row>
    <x:row r="533" ht="24" customHeight="1">
      <x:c r="A533" s="34"/>
      <x:c r="B533" s="34"/>
      <x:c r="C533" s="34"/>
      <x:c r="D533" s="34"/>
      <x:c r="E533" s="34"/>
      <x:c r="F533" s="35"/>
    </x:row>
    <x:row r="534" ht="24" customHeight="1">
      <x:c r="A534" s="34"/>
      <x:c r="B534" s="34"/>
      <x:c r="C534" s="34"/>
      <x:c r="D534" s="34"/>
      <x:c r="E534" s="34"/>
      <x:c r="F534" s="35"/>
    </x:row>
    <x:row r="535" ht="24" customHeight="1">
      <x:c r="A535" s="34"/>
      <x:c r="B535" s="34"/>
      <x:c r="C535" s="34"/>
      <x:c r="D535" s="34"/>
      <x:c r="E535" s="34"/>
      <x:c r="F535" s="35"/>
    </x:row>
    <x:row r="536" ht="24" customHeight="1">
      <x:c r="A536" s="34"/>
      <x:c r="B536" s="34"/>
      <x:c r="C536" s="34"/>
      <x:c r="D536" s="34"/>
      <x:c r="E536" s="34"/>
      <x:c r="F536" s="35"/>
    </x:row>
    <x:row r="537" ht="24" customHeight="1">
      <x:c r="A537" s="34"/>
      <x:c r="B537" s="34"/>
      <x:c r="C537" s="34"/>
      <x:c r="D537" s="34"/>
      <x:c r="E537" s="34"/>
      <x:c r="F537" s="35"/>
    </x:row>
    <x:row r="538" ht="24" customHeight="1">
      <x:c r="A538" s="34"/>
      <x:c r="B538" s="34"/>
      <x:c r="C538" s="34"/>
      <x:c r="D538" s="34"/>
      <x:c r="E538" s="34"/>
      <x:c r="F538" s="35"/>
    </x:row>
    <x:row r="539" ht="24" customHeight="1">
      <x:c r="A539" s="34"/>
      <x:c r="B539" s="34"/>
      <x:c r="C539" s="34"/>
      <x:c r="D539" s="34"/>
      <x:c r="E539" s="34"/>
      <x:c r="F539" s="35"/>
    </x:row>
    <x:row r="540" ht="24" customHeight="1">
      <x:c r="A540" s="34"/>
      <x:c r="B540" s="34"/>
      <x:c r="C540" s="34"/>
      <x:c r="D540" s="34"/>
      <x:c r="E540" s="34"/>
      <x:c r="F540" s="35"/>
    </x:row>
    <x:row r="541" ht="24" customHeight="1">
      <x:c r="A541" s="34"/>
      <x:c r="B541" s="34"/>
      <x:c r="C541" s="34"/>
      <x:c r="D541" s="34"/>
      <x:c r="E541" s="34"/>
      <x:c r="F541" s="35"/>
    </x:row>
    <x:row r="542" ht="24" customHeight="1">
      <x:c r="A542" s="34"/>
      <x:c r="B542" s="34"/>
      <x:c r="C542" s="34"/>
      <x:c r="D542" s="34"/>
      <x:c r="E542" s="34"/>
      <x:c r="F542" s="35"/>
    </x:row>
    <x:row r="543" ht="24" customHeight="1">
      <x:c r="A543" s="34"/>
      <x:c r="B543" s="34"/>
      <x:c r="C543" s="34"/>
      <x:c r="D543" s="34"/>
      <x:c r="E543" s="34"/>
      <x:c r="F543" s="35"/>
    </x:row>
    <x:row r="544" ht="24" customHeight="1">
      <x:c r="A544" s="34"/>
      <x:c r="B544" s="34"/>
      <x:c r="C544" s="34"/>
      <x:c r="D544" s="34"/>
      <x:c r="E544" s="34"/>
      <x:c r="F544" s="35"/>
    </x:row>
    <x:row r="545" ht="24" customHeight="1">
      <x:c r="A545" s="34"/>
      <x:c r="B545" s="34"/>
      <x:c r="C545" s="34"/>
      <x:c r="D545" s="34"/>
      <x:c r="E545" s="34"/>
      <x:c r="F545" s="35"/>
    </x:row>
    <x:row r="546" ht="24" customHeight="1">
      <x:c r="A546" s="34"/>
      <x:c r="B546" s="34"/>
      <x:c r="C546" s="34"/>
      <x:c r="D546" s="34"/>
      <x:c r="E546" s="34"/>
      <x:c r="F546" s="35"/>
    </x:row>
    <x:row r="547" ht="24" customHeight="1">
      <x:c r="A547" s="34"/>
      <x:c r="B547" s="34"/>
      <x:c r="C547" s="34"/>
      <x:c r="D547" s="34"/>
      <x:c r="E547" s="34"/>
      <x:c r="F547" s="35"/>
    </x:row>
    <x:row r="548" ht="24" customHeight="1">
      <x:c r="A548" s="34"/>
      <x:c r="B548" s="34"/>
      <x:c r="C548" s="34"/>
      <x:c r="D548" s="34"/>
      <x:c r="E548" s="34"/>
      <x:c r="F548" s="35"/>
    </x:row>
    <x:row r="549" ht="24" customHeight="1">
      <x:c r="A549" s="34"/>
      <x:c r="B549" s="34"/>
      <x:c r="C549" s="34"/>
      <x:c r="D549" s="34"/>
      <x:c r="E549" s="34"/>
      <x:c r="F549" s="35"/>
    </x:row>
    <x:row r="550" ht="24" customHeight="1">
      <x:c r="A550" s="34"/>
      <x:c r="B550" s="34"/>
      <x:c r="C550" s="34"/>
      <x:c r="D550" s="34"/>
      <x:c r="E550" s="34"/>
      <x:c r="F550" s="35"/>
    </x:row>
    <x:row r="551" ht="24" customHeight="1">
      <x:c r="A551" s="34"/>
      <x:c r="B551" s="34"/>
      <x:c r="C551" s="34"/>
      <x:c r="D551" s="34"/>
      <x:c r="E551" s="34"/>
      <x:c r="F551" s="35"/>
    </x:row>
    <x:row r="552" ht="24" customHeight="1">
      <x:c r="A552" s="34"/>
      <x:c r="B552" s="34"/>
      <x:c r="C552" s="34"/>
      <x:c r="D552" s="34"/>
      <x:c r="E552" s="34"/>
      <x:c r="F552" s="35"/>
    </x:row>
    <x:row r="553" ht="24" customHeight="1">
      <x:c r="A553" s="34"/>
      <x:c r="B553" s="34"/>
      <x:c r="C553" s="34"/>
      <x:c r="D553" s="34"/>
      <x:c r="E553" s="34"/>
      <x:c r="F553" s="35"/>
    </x:row>
    <x:row r="554" ht="24" customHeight="1">
      <x:c r="A554" s="34"/>
      <x:c r="B554" s="34"/>
      <x:c r="C554" s="34"/>
      <x:c r="D554" s="34"/>
      <x:c r="E554" s="34"/>
      <x:c r="F554" s="35"/>
    </x:row>
    <x:row r="555" ht="24" customHeight="1">
      <x:c r="A555" s="34"/>
      <x:c r="B555" s="34"/>
      <x:c r="C555" s="34"/>
      <x:c r="D555" s="34"/>
      <x:c r="E555" s="34"/>
      <x:c r="F555" s="35"/>
    </x:row>
    <x:row r="556" ht="24" customHeight="1">
      <x:c r="A556" s="34"/>
      <x:c r="B556" s="34"/>
      <x:c r="C556" s="34"/>
      <x:c r="D556" s="34"/>
      <x:c r="E556" s="34"/>
      <x:c r="F556" s="35"/>
    </x:row>
    <x:row r="557" ht="24" customHeight="1">
      <x:c r="A557" s="34"/>
      <x:c r="B557" s="34"/>
      <x:c r="C557" s="34"/>
      <x:c r="D557" s="34"/>
      <x:c r="E557" s="34"/>
      <x:c r="F557" s="35"/>
    </x:row>
    <x:row r="558" ht="24" customHeight="1">
      <x:c r="A558" s="34"/>
      <x:c r="B558" s="34"/>
      <x:c r="C558" s="34"/>
      <x:c r="D558" s="34"/>
      <x:c r="E558" s="34"/>
      <x:c r="F558" s="35"/>
    </x:row>
    <x:row r="559" ht="24" customHeight="1">
      <x:c r="A559" s="34"/>
      <x:c r="B559" s="34"/>
      <x:c r="C559" s="34"/>
      <x:c r="D559" s="34"/>
      <x:c r="E559" s="34"/>
      <x:c r="F559" s="35"/>
    </x:row>
    <x:row r="560" ht="24" customHeight="1">
      <x:c r="A560" s="34"/>
      <x:c r="B560" s="34"/>
      <x:c r="C560" s="34"/>
      <x:c r="D560" s="34"/>
      <x:c r="E560" s="34"/>
      <x:c r="F560" s="35"/>
    </x:row>
    <x:row r="561" ht="24" customHeight="1">
      <x:c r="A561" s="34"/>
      <x:c r="B561" s="34"/>
      <x:c r="C561" s="34"/>
      <x:c r="D561" s="34"/>
      <x:c r="E561" s="34"/>
      <x:c r="F561" s="35"/>
    </x:row>
    <x:row r="562" ht="24" customHeight="1">
      <x:c r="A562" s="34"/>
      <x:c r="B562" s="34"/>
      <x:c r="C562" s="34"/>
      <x:c r="D562" s="34"/>
      <x:c r="E562" s="34"/>
      <x:c r="F562" s="35"/>
    </x:row>
    <x:row r="563" ht="24" customHeight="1">
      <x:c r="A563" s="34"/>
      <x:c r="B563" s="34"/>
      <x:c r="C563" s="34"/>
      <x:c r="D563" s="34"/>
      <x:c r="E563" s="34"/>
      <x:c r="F563" s="35"/>
    </x:row>
    <x:row r="564" ht="24" customHeight="1">
      <x:c r="A564" s="34"/>
      <x:c r="B564" s="34"/>
      <x:c r="C564" s="34"/>
      <x:c r="D564" s="34"/>
      <x:c r="E564" s="34"/>
      <x:c r="F564" s="35"/>
    </x:row>
    <x:row r="565" ht="24" customHeight="1">
      <x:c r="A565" s="34"/>
      <x:c r="B565" s="34"/>
      <x:c r="C565" s="34"/>
      <x:c r="D565" s="34"/>
      <x:c r="E565" s="34"/>
      <x:c r="F565" s="35"/>
    </x:row>
    <x:row r="566" ht="24" customHeight="1">
      <x:c r="A566" s="34"/>
      <x:c r="B566" s="34"/>
      <x:c r="C566" s="34"/>
      <x:c r="D566" s="34"/>
      <x:c r="E566" s="34"/>
      <x:c r="F566" s="35"/>
    </x:row>
    <x:row r="567" ht="24" customHeight="1">
      <x:c r="A567" s="34"/>
      <x:c r="B567" s="34"/>
      <x:c r="C567" s="34"/>
      <x:c r="D567" s="34"/>
      <x:c r="E567" s="34"/>
      <x:c r="F567" s="35"/>
    </x:row>
    <x:row r="568" ht="24" customHeight="1">
      <x:c r="A568" s="34"/>
      <x:c r="B568" s="34"/>
      <x:c r="C568" s="34"/>
      <x:c r="D568" s="34"/>
      <x:c r="E568" s="34"/>
      <x:c r="F568" s="35"/>
    </x:row>
    <x:row r="569" ht="24" customHeight="1">
      <x:c r="A569" s="34"/>
      <x:c r="B569" s="34"/>
      <x:c r="C569" s="34"/>
      <x:c r="D569" s="34"/>
      <x:c r="E569" s="34"/>
      <x:c r="F569" s="35"/>
    </x:row>
    <x:row r="570" ht="24" customHeight="1">
      <x:c r="A570" s="34"/>
      <x:c r="B570" s="34"/>
      <x:c r="C570" s="34"/>
      <x:c r="D570" s="34"/>
      <x:c r="E570" s="34"/>
      <x:c r="F570" s="35"/>
    </x:row>
    <x:row r="571" ht="24" customHeight="1">
      <x:c r="A571" s="34"/>
      <x:c r="B571" s="34"/>
      <x:c r="C571" s="34"/>
      <x:c r="D571" s="34"/>
      <x:c r="E571" s="34"/>
      <x:c r="F571" s="35"/>
    </x:row>
    <x:row r="572" ht="24" customHeight="1">
      <x:c r="A572" s="34"/>
      <x:c r="B572" s="34"/>
      <x:c r="C572" s="34"/>
      <x:c r="D572" s="34"/>
      <x:c r="E572" s="34"/>
      <x:c r="F572" s="35"/>
    </x:row>
    <x:row r="573" ht="24" customHeight="1">
      <x:c r="A573" s="34"/>
      <x:c r="B573" s="34"/>
      <x:c r="C573" s="34"/>
      <x:c r="D573" s="34"/>
      <x:c r="E573" s="34"/>
      <x:c r="F573" s="35"/>
    </x:row>
    <x:row r="574" ht="24" customHeight="1">
      <x:c r="A574" s="34"/>
      <x:c r="B574" s="34"/>
      <x:c r="C574" s="34"/>
      <x:c r="D574" s="34"/>
      <x:c r="E574" s="34"/>
      <x:c r="F574" s="35"/>
    </x:row>
    <x:row r="575" ht="24" customHeight="1">
      <x:c r="A575" s="34"/>
      <x:c r="B575" s="34"/>
      <x:c r="C575" s="34"/>
      <x:c r="D575" s="34"/>
      <x:c r="E575" s="34"/>
      <x:c r="F575" s="35"/>
    </x:row>
    <x:row r="576" ht="24" customHeight="1">
      <x:c r="A576" s="34"/>
      <x:c r="B576" s="34"/>
      <x:c r="C576" s="34"/>
      <x:c r="D576" s="34"/>
      <x:c r="E576" s="34"/>
      <x:c r="F576" s="35"/>
    </x:row>
    <x:row r="577" ht="24" customHeight="1">
      <x:c r="A577" s="34"/>
      <x:c r="B577" s="34"/>
      <x:c r="C577" s="34"/>
      <x:c r="D577" s="34"/>
      <x:c r="E577" s="34"/>
      <x:c r="F577" s="35"/>
    </x:row>
    <x:row r="578" ht="24" customHeight="1">
      <x:c r="A578" s="34"/>
      <x:c r="B578" s="34"/>
      <x:c r="C578" s="34"/>
      <x:c r="D578" s="34"/>
      <x:c r="E578" s="34"/>
      <x:c r="F578" s="35"/>
    </x:row>
    <x:row r="579" ht="24" customHeight="1">
      <x:c r="A579" s="34"/>
      <x:c r="B579" s="34"/>
      <x:c r="C579" s="34"/>
      <x:c r="D579" s="34"/>
      <x:c r="E579" s="34"/>
      <x:c r="F579" s="35"/>
    </x:row>
    <x:row r="580" ht="24" customHeight="1">
      <x:c r="A580" s="34"/>
      <x:c r="B580" s="34"/>
      <x:c r="C580" s="34"/>
      <x:c r="D580" s="34"/>
      <x:c r="E580" s="34"/>
      <x:c r="F580" s="35"/>
    </x:row>
    <x:row r="581" ht="24" customHeight="1">
      <x:c r="A581" s="34"/>
      <x:c r="B581" s="34"/>
      <x:c r="C581" s="34"/>
      <x:c r="D581" s="34"/>
      <x:c r="E581" s="34"/>
      <x:c r="F581" s="35"/>
    </x:row>
    <x:row r="582" ht="24" customHeight="1">
      <x:c r="A582" s="34"/>
      <x:c r="B582" s="34"/>
      <x:c r="C582" s="34"/>
      <x:c r="D582" s="34"/>
      <x:c r="E582" s="34"/>
      <x:c r="F582" s="35"/>
    </x:row>
    <x:row r="583" ht="24" customHeight="1">
      <x:c r="A583" s="34"/>
      <x:c r="B583" s="34"/>
      <x:c r="C583" s="34"/>
      <x:c r="D583" s="34"/>
      <x:c r="E583" s="34"/>
      <x:c r="F583" s="35"/>
    </x:row>
    <x:row r="584" ht="24" customHeight="1">
      <x:c r="A584" s="34"/>
      <x:c r="B584" s="34"/>
      <x:c r="C584" s="34"/>
      <x:c r="D584" s="34"/>
      <x:c r="E584" s="34"/>
      <x:c r="F584" s="35"/>
    </x:row>
    <x:row r="585" ht="24" customHeight="1">
      <x:c r="A585" s="34"/>
      <x:c r="B585" s="34"/>
      <x:c r="C585" s="34"/>
      <x:c r="D585" s="34"/>
      <x:c r="E585" s="34"/>
      <x:c r="F585" s="35"/>
    </x:row>
    <x:row r="586" ht="24" customHeight="1">
      <x:c r="A586" s="34"/>
      <x:c r="B586" s="34"/>
      <x:c r="C586" s="34"/>
      <x:c r="D586" s="34"/>
      <x:c r="E586" s="34"/>
      <x:c r="F586" s="35"/>
    </x:row>
    <x:row r="587" ht="24" customHeight="1">
      <x:c r="A587" s="34"/>
      <x:c r="B587" s="34"/>
      <x:c r="C587" s="34"/>
      <x:c r="D587" s="34"/>
      <x:c r="E587" s="34"/>
      <x:c r="F587" s="35"/>
    </x:row>
    <x:row r="588" ht="24" customHeight="1">
      <x:c r="A588" s="34"/>
      <x:c r="B588" s="34"/>
      <x:c r="C588" s="34"/>
      <x:c r="D588" s="34"/>
      <x:c r="E588" s="34"/>
      <x:c r="F588" s="35"/>
    </x:row>
    <x:row r="589" ht="24" customHeight="1">
      <x:c r="A589" s="34"/>
      <x:c r="B589" s="34"/>
      <x:c r="C589" s="34"/>
      <x:c r="D589" s="34"/>
      <x:c r="E589" s="34"/>
      <x:c r="F589" s="35"/>
    </x:row>
    <x:row r="590" ht="24" customHeight="1">
      <x:c r="A590" s="34"/>
      <x:c r="B590" s="34"/>
      <x:c r="C590" s="34"/>
      <x:c r="D590" s="34"/>
      <x:c r="E590" s="34"/>
      <x:c r="F590" s="35"/>
    </x:row>
    <x:row r="591" ht="24" customHeight="1">
      <x:c r="A591" s="34"/>
      <x:c r="B591" s="34"/>
      <x:c r="C591" s="34"/>
      <x:c r="D591" s="34"/>
      <x:c r="E591" s="34"/>
      <x:c r="F591" s="35"/>
    </x:row>
    <x:row r="592" ht="24" customHeight="1">
      <x:c r="A592" s="34"/>
      <x:c r="B592" s="34"/>
      <x:c r="C592" s="34"/>
      <x:c r="D592" s="34"/>
      <x:c r="E592" s="34"/>
      <x:c r="F592" s="35"/>
    </x:row>
    <x:row r="593" ht="24" customHeight="1">
      <x:c r="A593" s="34"/>
      <x:c r="B593" s="34"/>
      <x:c r="C593" s="34"/>
      <x:c r="D593" s="34"/>
      <x:c r="E593" s="34"/>
      <x:c r="F593" s="35"/>
    </x:row>
    <x:row r="594" ht="24" customHeight="1">
      <x:c r="A594" s="34"/>
      <x:c r="B594" s="34"/>
      <x:c r="C594" s="34"/>
      <x:c r="D594" s="34"/>
      <x:c r="E594" s="34"/>
      <x:c r="F594" s="35"/>
    </x:row>
    <x:row r="595" ht="24" customHeight="1">
      <x:c r="A595" s="34"/>
      <x:c r="B595" s="34"/>
      <x:c r="C595" s="34"/>
      <x:c r="D595" s="34"/>
      <x:c r="E595" s="34"/>
      <x:c r="F595" s="35"/>
    </x:row>
    <x:row r="596" ht="24" customHeight="1">
      <x:c r="A596" s="34"/>
      <x:c r="B596" s="34"/>
      <x:c r="C596" s="34"/>
      <x:c r="D596" s="34"/>
      <x:c r="E596" s="34"/>
      <x:c r="F596" s="35"/>
    </x:row>
    <x:row r="597" ht="24" customHeight="1">
      <x:c r="A597" s="34"/>
      <x:c r="B597" s="34"/>
      <x:c r="C597" s="34"/>
      <x:c r="D597" s="34"/>
      <x:c r="E597" s="34"/>
      <x:c r="F597" s="35"/>
    </x:row>
    <x:row r="598" ht="24" customHeight="1">
      <x:c r="A598" s="34"/>
      <x:c r="B598" s="34"/>
      <x:c r="C598" s="34"/>
      <x:c r="D598" s="34"/>
      <x:c r="E598" s="34"/>
      <x:c r="F598" s="35"/>
    </x:row>
    <x:row r="599" ht="24" customHeight="1">
      <x:c r="A599" s="34"/>
      <x:c r="B599" s="34"/>
      <x:c r="C599" s="34"/>
      <x:c r="D599" s="34"/>
      <x:c r="E599" s="34"/>
      <x:c r="F599" s="35"/>
    </x:row>
    <x:row r="600" ht="24" customHeight="1">
      <x:c r="A600" s="34"/>
      <x:c r="B600" s="34"/>
      <x:c r="C600" s="34"/>
      <x:c r="D600" s="34"/>
      <x:c r="E600" s="34"/>
      <x:c r="F600" s="35"/>
    </x:row>
    <x:row r="601" ht="24" customHeight="1">
      <x:c r="A601" s="34"/>
      <x:c r="B601" s="34"/>
      <x:c r="C601" s="34"/>
      <x:c r="D601" s="34"/>
      <x:c r="E601" s="34"/>
      <x:c r="F601" s="35"/>
    </x:row>
    <x:row r="602" ht="24" customHeight="1">
      <x:c r="A602" s="34"/>
      <x:c r="B602" s="34"/>
      <x:c r="C602" s="34"/>
      <x:c r="D602" s="34"/>
      <x:c r="E602" s="34"/>
      <x:c r="F602" s="35"/>
    </x:row>
    <x:row r="603" ht="24" customHeight="1">
      <x:c r="A603" s="34"/>
      <x:c r="B603" s="34"/>
      <x:c r="C603" s="34"/>
      <x:c r="D603" s="34"/>
      <x:c r="E603" s="34"/>
      <x:c r="F603" s="35"/>
    </x:row>
    <x:row r="604" ht="24" customHeight="1">
      <x:c r="A604" s="34"/>
      <x:c r="B604" s="34"/>
      <x:c r="C604" s="34"/>
      <x:c r="D604" s="34"/>
      <x:c r="E604" s="34"/>
      <x:c r="F604" s="35"/>
    </x:row>
    <x:row r="605" ht="24" customHeight="1">
      <x:c r="A605" s="34"/>
      <x:c r="B605" s="34"/>
      <x:c r="C605" s="34"/>
      <x:c r="D605" s="34"/>
      <x:c r="E605" s="34"/>
      <x:c r="F605" s="35"/>
    </x:row>
    <x:row r="606" ht="24" customHeight="1">
      <x:c r="A606" s="34"/>
      <x:c r="B606" s="34"/>
      <x:c r="C606" s="34"/>
      <x:c r="D606" s="34"/>
      <x:c r="E606" s="34"/>
      <x:c r="F606" s="35"/>
    </x:row>
    <x:row r="607" ht="24" customHeight="1">
      <x:c r="A607" s="34"/>
      <x:c r="B607" s="34"/>
      <x:c r="C607" s="34"/>
      <x:c r="D607" s="34"/>
      <x:c r="E607" s="34"/>
      <x:c r="F607" s="35"/>
    </x:row>
    <x:row r="608" ht="24" customHeight="1">
      <x:c r="A608" s="34"/>
      <x:c r="B608" s="34"/>
      <x:c r="C608" s="34"/>
      <x:c r="D608" s="34"/>
      <x:c r="E608" s="34"/>
      <x:c r="F608" s="35"/>
    </x:row>
    <x:row r="609" ht="24" customHeight="1">
      <x:c r="A609" s="34"/>
      <x:c r="B609" s="34"/>
      <x:c r="C609" s="34"/>
      <x:c r="D609" s="34"/>
      <x:c r="E609" s="34"/>
      <x:c r="F609" s="35"/>
    </x:row>
    <x:row r="610" ht="24" customHeight="1">
      <x:c r="A610" s="34"/>
      <x:c r="B610" s="34"/>
      <x:c r="C610" s="34"/>
      <x:c r="D610" s="34"/>
      <x:c r="E610" s="34"/>
      <x:c r="F610" s="35"/>
    </x:row>
    <x:row r="611" ht="24" customHeight="1">
      <x:c r="A611" s="34"/>
      <x:c r="B611" s="34"/>
      <x:c r="C611" s="34"/>
      <x:c r="D611" s="34"/>
      <x:c r="E611" s="34"/>
      <x:c r="F611" s="35"/>
    </x:row>
    <x:row r="612" ht="24" customHeight="1">
      <x:c r="A612" s="34"/>
      <x:c r="B612" s="34"/>
      <x:c r="C612" s="34"/>
      <x:c r="D612" s="34"/>
      <x:c r="E612" s="34"/>
      <x:c r="F612" s="35"/>
    </x:row>
    <x:row r="613" ht="24" customHeight="1">
      <x:c r="A613" s="34"/>
      <x:c r="B613" s="34"/>
      <x:c r="C613" s="34"/>
      <x:c r="D613" s="34"/>
      <x:c r="E613" s="34"/>
      <x:c r="F613" s="35"/>
    </x:row>
    <x:row r="614" ht="24" customHeight="1">
      <x:c r="A614" s="34"/>
      <x:c r="B614" s="34"/>
      <x:c r="C614" s="34"/>
      <x:c r="D614" s="34"/>
      <x:c r="E614" s="34"/>
      <x:c r="F614" s="35"/>
    </x:row>
    <x:row r="615" ht="24" customHeight="1">
      <x:c r="A615" s="34"/>
      <x:c r="B615" s="34"/>
      <x:c r="C615" s="34"/>
      <x:c r="D615" s="34"/>
      <x:c r="E615" s="34"/>
      <x:c r="F615" s="35"/>
    </x:row>
    <x:row r="616" ht="24" customHeight="1">
      <x:c r="A616" s="34"/>
      <x:c r="B616" s="34"/>
      <x:c r="C616" s="34"/>
      <x:c r="D616" s="34"/>
      <x:c r="E616" s="34"/>
      <x:c r="F616" s="35"/>
    </x:row>
    <x:row r="617" ht="24" customHeight="1">
      <x:c r="A617" s="34"/>
      <x:c r="B617" s="34"/>
      <x:c r="C617" s="34"/>
      <x:c r="D617" s="34"/>
      <x:c r="E617" s="34"/>
      <x:c r="F617" s="35"/>
    </x:row>
    <x:row r="618" ht="24" customHeight="1">
      <x:c r="A618" s="34"/>
      <x:c r="B618" s="34"/>
      <x:c r="C618" s="34"/>
      <x:c r="D618" s="34"/>
      <x:c r="E618" s="34"/>
      <x:c r="F618" s="35"/>
    </x:row>
    <x:row r="619" ht="24" customHeight="1">
      <x:c r="A619" s="34"/>
      <x:c r="B619" s="34"/>
      <x:c r="C619" s="34"/>
      <x:c r="D619" s="34"/>
      <x:c r="E619" s="34"/>
      <x:c r="F619" s="35"/>
    </x:row>
    <x:row r="620" ht="24" customHeight="1">
      <x:c r="A620" s="34"/>
      <x:c r="B620" s="34"/>
      <x:c r="C620" s="34"/>
      <x:c r="D620" s="34"/>
      <x:c r="E620" s="34"/>
      <x:c r="F620" s="35"/>
    </x:row>
    <x:row r="621" ht="24" customHeight="1">
      <x:c r="A621" s="34"/>
      <x:c r="B621" s="34"/>
      <x:c r="C621" s="34"/>
      <x:c r="D621" s="34"/>
      <x:c r="E621" s="34"/>
      <x:c r="F621" s="35"/>
    </x:row>
    <x:row r="622" ht="24" customHeight="1">
      <x:c r="A622" s="34"/>
      <x:c r="B622" s="34"/>
      <x:c r="C622" s="34"/>
      <x:c r="D622" s="34"/>
      <x:c r="E622" s="34"/>
      <x:c r="F622" s="35"/>
    </x:row>
    <x:row r="623" ht="24" customHeight="1">
      <x:c r="A623" s="34"/>
      <x:c r="B623" s="34"/>
      <x:c r="C623" s="34"/>
      <x:c r="D623" s="34"/>
      <x:c r="E623" s="34"/>
      <x:c r="F623" s="35"/>
    </x:row>
    <x:row r="624" ht="24" customHeight="1">
      <x:c r="A624" s="34"/>
      <x:c r="B624" s="34"/>
      <x:c r="C624" s="34"/>
      <x:c r="D624" s="34"/>
      <x:c r="E624" s="34"/>
      <x:c r="F624" s="35"/>
    </x:row>
    <x:row r="625" ht="24" customHeight="1">
      <x:c r="A625" s="34"/>
      <x:c r="B625" s="34"/>
      <x:c r="C625" s="34"/>
      <x:c r="D625" s="34"/>
      <x:c r="E625" s="34"/>
      <x:c r="F625" s="35"/>
    </x:row>
    <x:row r="626" ht="24" customHeight="1">
      <x:c r="A626" s="34"/>
      <x:c r="B626" s="34"/>
      <x:c r="C626" s="34"/>
      <x:c r="D626" s="34"/>
      <x:c r="E626" s="34"/>
      <x:c r="F626" s="35"/>
    </x:row>
    <x:row r="627" ht="24" customHeight="1">
      <x:c r="A627" s="34"/>
      <x:c r="B627" s="34"/>
      <x:c r="C627" s="34"/>
      <x:c r="D627" s="34"/>
      <x:c r="E627" s="34"/>
      <x:c r="F627" s="35"/>
    </x:row>
    <x:row r="628" ht="24" customHeight="1">
      <x:c r="A628" s="34"/>
      <x:c r="B628" s="34"/>
      <x:c r="C628" s="34"/>
      <x:c r="D628" s="34"/>
      <x:c r="E628" s="34"/>
      <x:c r="F628" s="35"/>
    </x:row>
    <x:row r="629" ht="24" customHeight="1">
      <x:c r="A629" s="34"/>
      <x:c r="B629" s="34"/>
      <x:c r="C629" s="34"/>
      <x:c r="D629" s="34"/>
      <x:c r="E629" s="34"/>
      <x:c r="F629" s="35"/>
    </x:row>
    <x:row r="630" ht="24" customHeight="1">
      <x:c r="A630" s="34"/>
      <x:c r="B630" s="34"/>
      <x:c r="C630" s="34"/>
      <x:c r="D630" s="34"/>
      <x:c r="E630" s="34"/>
      <x:c r="F630" s="35"/>
    </x:row>
    <x:row r="631" ht="24" customHeight="1">
      <x:c r="A631" s="34"/>
      <x:c r="B631" s="34"/>
      <x:c r="C631" s="34"/>
      <x:c r="D631" s="34"/>
      <x:c r="E631" s="34"/>
      <x:c r="F631" s="35"/>
    </x:row>
    <x:row r="632" ht="24" customHeight="1">
      <x:c r="A632" s="34"/>
      <x:c r="B632" s="34"/>
      <x:c r="C632" s="34"/>
      <x:c r="D632" s="34"/>
      <x:c r="E632" s="34"/>
      <x:c r="F632" s="35"/>
    </x:row>
    <x:row r="633" ht="24" customHeight="1">
      <x:c r="A633" s="34"/>
      <x:c r="B633" s="34"/>
      <x:c r="C633" s="34"/>
      <x:c r="D633" s="34"/>
      <x:c r="E633" s="34"/>
      <x:c r="F633" s="35"/>
    </x:row>
    <x:row r="634" ht="24" customHeight="1">
      <x:c r="A634" s="34"/>
      <x:c r="B634" s="34"/>
      <x:c r="C634" s="34"/>
      <x:c r="D634" s="34"/>
      <x:c r="E634" s="34"/>
      <x:c r="F634" s="35"/>
    </x:row>
    <x:row r="635" ht="24" customHeight="1">
      <x:c r="A635" s="34"/>
      <x:c r="B635" s="34"/>
      <x:c r="C635" s="34"/>
      <x:c r="D635" s="34"/>
      <x:c r="E635" s="34"/>
      <x:c r="F635" s="35"/>
    </x:row>
    <x:row r="636" ht="24" customHeight="1">
      <x:c r="A636" s="34"/>
      <x:c r="B636" s="34"/>
      <x:c r="C636" s="34"/>
      <x:c r="D636" s="34"/>
      <x:c r="E636" s="34"/>
      <x:c r="F636" s="35"/>
    </x:row>
    <x:row r="637" ht="24" customHeight="1">
      <x:c r="A637" s="34"/>
      <x:c r="B637" s="34"/>
      <x:c r="C637" s="34"/>
      <x:c r="D637" s="34"/>
      <x:c r="E637" s="34"/>
      <x:c r="F637" s="35"/>
    </x:row>
    <x:row r="638" ht="24" customHeight="1">
      <x:c r="A638" s="34"/>
      <x:c r="B638" s="34"/>
      <x:c r="C638" s="34"/>
      <x:c r="D638" s="34"/>
      <x:c r="E638" s="34"/>
      <x:c r="F638" s="35"/>
    </x:row>
    <x:row r="639" ht="24" customHeight="1">
      <x:c r="A639" s="34"/>
      <x:c r="B639" s="34"/>
      <x:c r="C639" s="34"/>
      <x:c r="D639" s="34"/>
      <x:c r="E639" s="34"/>
      <x:c r="F639" s="35"/>
    </x:row>
    <x:row r="640" ht="24" customHeight="1">
      <x:c r="A640" s="34"/>
      <x:c r="B640" s="34"/>
      <x:c r="C640" s="34"/>
      <x:c r="D640" s="34"/>
      <x:c r="E640" s="34"/>
      <x:c r="F640" s="35"/>
    </x:row>
    <x:row r="641" ht="24" customHeight="1">
      <x:c r="A641" s="34"/>
      <x:c r="B641" s="34"/>
      <x:c r="C641" s="34"/>
      <x:c r="D641" s="34"/>
      <x:c r="E641" s="34"/>
      <x:c r="F641" s="35"/>
    </x:row>
    <x:row r="642" ht="24" customHeight="1">
      <x:c r="A642" s="34"/>
      <x:c r="B642" s="34"/>
      <x:c r="C642" s="34"/>
      <x:c r="D642" s="34"/>
      <x:c r="E642" s="34"/>
      <x:c r="F642" s="35"/>
    </x:row>
    <x:row r="643" ht="24" customHeight="1">
      <x:c r="A643" s="34"/>
      <x:c r="B643" s="34"/>
      <x:c r="C643" s="34"/>
      <x:c r="D643" s="34"/>
      <x:c r="E643" s="34"/>
      <x:c r="F643" s="35"/>
    </x:row>
    <x:row r="644" ht="24" customHeight="1">
      <x:c r="A644" s="34"/>
      <x:c r="B644" s="34"/>
      <x:c r="C644" s="34"/>
      <x:c r="D644" s="34"/>
      <x:c r="E644" s="34"/>
      <x:c r="F644" s="35"/>
    </x:row>
    <x:row r="645" ht="24" customHeight="1">
      <x:c r="A645" s="34"/>
      <x:c r="B645" s="34"/>
      <x:c r="C645" s="34"/>
      <x:c r="D645" s="34"/>
      <x:c r="E645" s="34"/>
      <x:c r="F645" s="35"/>
    </x:row>
    <x:row r="646" ht="24" customHeight="1">
      <x:c r="A646" s="34"/>
      <x:c r="B646" s="34"/>
      <x:c r="C646" s="34"/>
      <x:c r="D646" s="34"/>
      <x:c r="E646" s="34"/>
      <x:c r="F646" s="35"/>
    </x:row>
    <x:row r="647" ht="24" customHeight="1">
      <x:c r="A647" s="34"/>
      <x:c r="B647" s="34"/>
      <x:c r="C647" s="34"/>
      <x:c r="D647" s="34"/>
      <x:c r="E647" s="34"/>
      <x:c r="F647" s="35"/>
    </x:row>
    <x:row r="648" ht="24" customHeight="1">
      <x:c r="A648" s="34"/>
      <x:c r="B648" s="34"/>
      <x:c r="C648" s="34"/>
      <x:c r="D648" s="34"/>
      <x:c r="E648" s="34"/>
      <x:c r="F648" s="35"/>
    </x:row>
    <x:row r="649" ht="24" customHeight="1">
      <x:c r="A649" s="34"/>
      <x:c r="B649" s="34"/>
      <x:c r="C649" s="34"/>
      <x:c r="D649" s="34"/>
      <x:c r="E649" s="34"/>
      <x:c r="F649" s="35"/>
    </x:row>
    <x:row r="650" ht="24" customHeight="1">
      <x:c r="A650" s="34"/>
      <x:c r="B650" s="34"/>
      <x:c r="C650" s="34"/>
      <x:c r="D650" s="34"/>
      <x:c r="E650" s="34"/>
      <x:c r="F650" s="35"/>
    </x:row>
    <x:row r="651" ht="24" customHeight="1">
      <x:c r="A651" s="34"/>
      <x:c r="B651" s="34"/>
      <x:c r="C651" s="34"/>
      <x:c r="D651" s="34"/>
      <x:c r="E651" s="34"/>
      <x:c r="F651" s="35"/>
    </x:row>
    <x:row r="652" ht="24" customHeight="1">
      <x:c r="A652" s="34"/>
      <x:c r="B652" s="34"/>
      <x:c r="C652" s="34"/>
      <x:c r="D652" s="34"/>
      <x:c r="E652" s="34"/>
      <x:c r="F652" s="35"/>
    </x:row>
    <x:row r="653" ht="24" customHeight="1">
      <x:c r="A653" s="34"/>
      <x:c r="B653" s="34"/>
      <x:c r="C653" s="34"/>
      <x:c r="D653" s="34"/>
      <x:c r="E653" s="34"/>
      <x:c r="F653" s="35"/>
    </x:row>
    <x:row r="654" ht="24" customHeight="1">
      <x:c r="A654" s="34"/>
      <x:c r="B654" s="34"/>
      <x:c r="C654" s="34"/>
      <x:c r="D654" s="34"/>
      <x:c r="E654" s="34"/>
      <x:c r="F654" s="35"/>
    </x:row>
    <x:row r="655" ht="24" customHeight="1">
      <x:c r="A655" s="34"/>
      <x:c r="B655" s="34"/>
      <x:c r="C655" s="34"/>
      <x:c r="D655" s="34"/>
      <x:c r="E655" s="34"/>
      <x:c r="F655" s="35"/>
    </x:row>
    <x:row r="656" ht="24" customHeight="1">
      <x:c r="A656" s="34"/>
      <x:c r="B656" s="34"/>
      <x:c r="C656" s="34"/>
      <x:c r="D656" s="34"/>
      <x:c r="E656" s="34"/>
      <x:c r="F656" s="35"/>
    </x:row>
    <x:row r="657" ht="24" customHeight="1">
      <x:c r="A657" s="34"/>
      <x:c r="B657" s="34"/>
      <x:c r="C657" s="34"/>
      <x:c r="D657" s="34"/>
      <x:c r="E657" s="34"/>
      <x:c r="F657" s="35"/>
    </x:row>
    <x:row r="658" ht="24" customHeight="1">
      <x:c r="A658" s="34"/>
      <x:c r="B658" s="34"/>
      <x:c r="C658" s="34"/>
      <x:c r="D658" s="34"/>
      <x:c r="E658" s="34"/>
      <x:c r="F658" s="35"/>
    </x:row>
    <x:row r="659" ht="24" customHeight="1">
      <x:c r="A659" s="34"/>
      <x:c r="B659" s="34"/>
      <x:c r="C659" s="34"/>
      <x:c r="D659" s="34"/>
      <x:c r="E659" s="34"/>
      <x:c r="F659" s="35"/>
    </x:row>
    <x:row r="660" ht="24" customHeight="1">
      <x:c r="A660" s="34"/>
      <x:c r="B660" s="34"/>
      <x:c r="C660" s="34"/>
      <x:c r="D660" s="34"/>
      <x:c r="E660" s="34"/>
      <x:c r="F660" s="35"/>
    </x:row>
    <x:row r="661" ht="24" customHeight="1">
      <x:c r="A661" s="34"/>
      <x:c r="B661" s="34"/>
      <x:c r="C661" s="34"/>
      <x:c r="D661" s="34"/>
      <x:c r="E661" s="34"/>
      <x:c r="F661" s="35"/>
    </x:row>
    <x:row r="662" ht="24" customHeight="1">
      <x:c r="A662" s="34"/>
      <x:c r="B662" s="34"/>
      <x:c r="C662" s="34"/>
      <x:c r="D662" s="34"/>
      <x:c r="E662" s="34"/>
      <x:c r="F662" s="35"/>
    </x:row>
    <x:row r="663" ht="24" customHeight="1">
      <x:c r="A663" s="34"/>
      <x:c r="B663" s="34"/>
      <x:c r="C663" s="34"/>
      <x:c r="D663" s="34"/>
      <x:c r="E663" s="34"/>
      <x:c r="F663" s="35"/>
    </x:row>
    <x:row r="664" ht="24" customHeight="1">
      <x:c r="A664" s="34"/>
      <x:c r="B664" s="34"/>
      <x:c r="C664" s="34"/>
      <x:c r="D664" s="34"/>
      <x:c r="E664" s="34"/>
      <x:c r="F664" s="35"/>
    </x:row>
    <x:row r="665" ht="24" customHeight="1">
      <x:c r="A665" s="34"/>
      <x:c r="B665" s="34"/>
      <x:c r="C665" s="34"/>
      <x:c r="D665" s="34"/>
      <x:c r="E665" s="34"/>
      <x:c r="F665" s="35"/>
    </x:row>
    <x:row r="666" ht="24" customHeight="1">
      <x:c r="A666" s="34"/>
      <x:c r="B666" s="34"/>
      <x:c r="C666" s="34"/>
      <x:c r="D666" s="34"/>
      <x:c r="E666" s="34"/>
      <x:c r="F666" s="35"/>
    </x:row>
    <x:row r="667" ht="24" customHeight="1">
      <x:c r="A667" s="34"/>
      <x:c r="B667" s="34"/>
      <x:c r="C667" s="34"/>
      <x:c r="D667" s="34"/>
      <x:c r="E667" s="34"/>
      <x:c r="F667" s="35"/>
    </x:row>
    <x:row r="668" ht="24" customHeight="1">
      <x:c r="A668" s="34"/>
      <x:c r="B668" s="34"/>
      <x:c r="C668" s="34"/>
      <x:c r="D668" s="34"/>
      <x:c r="E668" s="34"/>
      <x:c r="F668" s="35"/>
    </x:row>
    <x:row r="669" ht="24" customHeight="1">
      <x:c r="A669" s="34"/>
      <x:c r="B669" s="34"/>
      <x:c r="C669" s="34"/>
      <x:c r="D669" s="34"/>
      <x:c r="E669" s="34"/>
      <x:c r="F669" s="35"/>
    </x:row>
    <x:row r="670" ht="24" customHeight="1">
      <x:c r="A670" s="34"/>
      <x:c r="B670" s="34"/>
      <x:c r="C670" s="34"/>
      <x:c r="D670" s="34"/>
      <x:c r="E670" s="34"/>
      <x:c r="F670" s="35"/>
    </x:row>
    <x:row r="671" ht="24" customHeight="1">
      <x:c r="A671" s="34"/>
      <x:c r="B671" s="34"/>
      <x:c r="C671" s="34"/>
      <x:c r="D671" s="34"/>
      <x:c r="E671" s="34"/>
      <x:c r="F671" s="35"/>
    </x:row>
    <x:row r="672" ht="24" customHeight="1">
      <x:c r="A672" s="34"/>
      <x:c r="B672" s="34"/>
      <x:c r="C672" s="34"/>
      <x:c r="D672" s="34"/>
      <x:c r="E672" s="34"/>
      <x:c r="F672" s="35"/>
    </x:row>
    <x:row r="673" ht="24" customHeight="1">
      <x:c r="A673" s="34"/>
      <x:c r="B673" s="34"/>
      <x:c r="C673" s="34"/>
      <x:c r="D673" s="34"/>
      <x:c r="E673" s="34"/>
      <x:c r="F673" s="35"/>
    </x:row>
    <x:row r="674" ht="24" customHeight="1">
      <x:c r="A674" s="34"/>
      <x:c r="B674" s="34"/>
      <x:c r="C674" s="34"/>
      <x:c r="D674" s="34"/>
      <x:c r="E674" s="34"/>
      <x:c r="F674" s="35"/>
    </x:row>
    <x:row r="675" ht="24" customHeight="1">
      <x:c r="A675" s="34"/>
      <x:c r="B675" s="34"/>
      <x:c r="C675" s="34"/>
      <x:c r="D675" s="34"/>
      <x:c r="E675" s="34"/>
      <x:c r="F675" s="35"/>
    </x:row>
    <x:row r="676" ht="24" customHeight="1">
      <x:c r="A676" s="34"/>
      <x:c r="B676" s="34"/>
      <x:c r="C676" s="34"/>
      <x:c r="D676" s="34"/>
      <x:c r="E676" s="34"/>
      <x:c r="F676" s="35"/>
    </x:row>
    <x:row r="677" ht="24" customHeight="1">
      <x:c r="A677" s="34"/>
      <x:c r="B677" s="34"/>
      <x:c r="C677" s="34"/>
      <x:c r="D677" s="34"/>
      <x:c r="E677" s="34"/>
      <x:c r="F677" s="35"/>
    </x:row>
    <x:row r="678" ht="24" customHeight="1">
      <x:c r="A678" s="34"/>
      <x:c r="B678" s="34"/>
      <x:c r="C678" s="34"/>
      <x:c r="D678" s="34"/>
      <x:c r="E678" s="34"/>
      <x:c r="F678" s="35"/>
    </x:row>
    <x:row r="679" ht="24" customHeight="1">
      <x:c r="A679" s="34"/>
      <x:c r="B679" s="34"/>
      <x:c r="C679" s="34"/>
      <x:c r="D679" s="34"/>
      <x:c r="E679" s="34"/>
      <x:c r="F679" s="35"/>
    </x:row>
    <x:row r="680" ht="24" customHeight="1">
      <x:c r="A680" s="34"/>
      <x:c r="B680" s="34"/>
      <x:c r="C680" s="34"/>
      <x:c r="D680" s="34"/>
      <x:c r="E680" s="34"/>
      <x:c r="F680" s="35"/>
    </x:row>
    <x:row r="681" ht="24" customHeight="1">
      <x:c r="A681" s="34"/>
      <x:c r="B681" s="34"/>
      <x:c r="C681" s="34"/>
      <x:c r="D681" s="34"/>
      <x:c r="E681" s="34"/>
      <x:c r="F681" s="35"/>
    </x:row>
    <x:row r="682" ht="24" customHeight="1">
      <x:c r="A682" s="34"/>
      <x:c r="B682" s="34"/>
      <x:c r="C682" s="34"/>
      <x:c r="D682" s="34"/>
      <x:c r="E682" s="34"/>
      <x:c r="F682" s="35"/>
    </x:row>
    <x:row r="683" ht="24" customHeight="1">
      <x:c r="A683" s="34"/>
      <x:c r="B683" s="34"/>
      <x:c r="C683" s="34"/>
      <x:c r="D683" s="34"/>
      <x:c r="E683" s="34"/>
      <x:c r="F683" s="35"/>
    </x:row>
    <x:row r="684" ht="24" customHeight="1">
      <x:c r="A684" s="34"/>
      <x:c r="B684" s="34"/>
      <x:c r="C684" s="34"/>
      <x:c r="D684" s="34"/>
      <x:c r="E684" s="34"/>
      <x:c r="F684" s="35"/>
    </x:row>
    <x:row r="685" ht="24" customHeight="1">
      <x:c r="A685" s="34"/>
      <x:c r="B685" s="34"/>
      <x:c r="C685" s="34"/>
      <x:c r="D685" s="34"/>
      <x:c r="E685" s="34"/>
      <x:c r="F685" s="35"/>
    </x:row>
    <x:row r="686" ht="24" customHeight="1">
      <x:c r="A686" s="34"/>
      <x:c r="B686" s="34"/>
      <x:c r="C686" s="34"/>
      <x:c r="D686" s="34"/>
      <x:c r="E686" s="34"/>
      <x:c r="F686" s="35"/>
    </x:row>
    <x:row r="687" ht="24" customHeight="1">
      <x:c r="A687" s="34"/>
      <x:c r="B687" s="34"/>
      <x:c r="C687" s="34"/>
      <x:c r="D687" s="34"/>
      <x:c r="E687" s="34"/>
      <x:c r="F687" s="35"/>
    </x:row>
    <x:row r="688" ht="24" customHeight="1">
      <x:c r="A688" s="34"/>
      <x:c r="B688" s="34"/>
      <x:c r="C688" s="34"/>
      <x:c r="D688" s="34"/>
      <x:c r="E688" s="34"/>
      <x:c r="F688" s="35"/>
    </x:row>
    <x:row r="689" ht="24" customHeight="1">
      <x:c r="A689" s="34"/>
      <x:c r="B689" s="34"/>
      <x:c r="C689" s="34"/>
      <x:c r="D689" s="34"/>
      <x:c r="E689" s="34"/>
      <x:c r="F689" s="35"/>
    </x:row>
    <x:row r="690" ht="24" customHeight="1">
      <x:c r="A690" s="34"/>
      <x:c r="B690" s="34"/>
      <x:c r="C690" s="34"/>
      <x:c r="D690" s="34"/>
      <x:c r="E690" s="34"/>
      <x:c r="F690" s="35"/>
    </x:row>
    <x:row r="691" ht="24" customHeight="1">
      <x:c r="A691" s="34"/>
      <x:c r="B691" s="34"/>
      <x:c r="C691" s="34"/>
      <x:c r="D691" s="34"/>
      <x:c r="E691" s="34"/>
      <x:c r="F691" s="35"/>
    </x:row>
    <x:row r="692" ht="24" customHeight="1">
      <x:c r="A692" s="34"/>
      <x:c r="B692" s="34"/>
      <x:c r="C692" s="34"/>
      <x:c r="D692" s="34"/>
      <x:c r="E692" s="34"/>
      <x:c r="F692" s="35"/>
    </x:row>
    <x:row r="693" ht="24" customHeight="1">
      <x:c r="A693" s="34"/>
      <x:c r="B693" s="34"/>
      <x:c r="C693" s="34"/>
      <x:c r="D693" s="34"/>
      <x:c r="E693" s="34"/>
      <x:c r="F693" s="35"/>
    </x:row>
    <x:row r="694" ht="24" customHeight="1">
      <x:c r="A694" s="34"/>
      <x:c r="B694" s="34"/>
      <x:c r="C694" s="34"/>
      <x:c r="D694" s="34"/>
      <x:c r="E694" s="34"/>
      <x:c r="F694" s="35"/>
    </x:row>
    <x:row r="695" ht="24" customHeight="1">
      <x:c r="A695" s="34"/>
      <x:c r="B695" s="34"/>
      <x:c r="C695" s="34"/>
      <x:c r="D695" s="34"/>
      <x:c r="E695" s="34"/>
      <x:c r="F695" s="35"/>
    </x:row>
    <x:row r="696" ht="24" customHeight="1">
      <x:c r="A696" s="34"/>
      <x:c r="B696" s="34"/>
      <x:c r="C696" s="34"/>
      <x:c r="D696" s="34"/>
      <x:c r="E696" s="34"/>
      <x:c r="F696" s="35"/>
    </x:row>
    <x:row r="697" ht="24" customHeight="1">
      <x:c r="A697" s="34"/>
      <x:c r="B697" s="34"/>
      <x:c r="C697" s="34"/>
      <x:c r="D697" s="34"/>
      <x:c r="E697" s="34"/>
      <x:c r="F697" s="35"/>
    </x:row>
    <x:row r="698" ht="24" customHeight="1">
      <x:c r="A698" s="34"/>
      <x:c r="B698" s="34"/>
      <x:c r="C698" s="34"/>
      <x:c r="D698" s="34"/>
      <x:c r="E698" s="34"/>
      <x:c r="F698" s="35"/>
    </x:row>
    <x:row r="699" ht="24" customHeight="1">
      <x:c r="A699" s="34"/>
      <x:c r="B699" s="34"/>
      <x:c r="C699" s="34"/>
      <x:c r="D699" s="34"/>
      <x:c r="E699" s="34"/>
      <x:c r="F699" s="35"/>
    </x:row>
    <x:row r="700" ht="24" customHeight="1">
      <x:c r="A700" s="34"/>
      <x:c r="B700" s="34"/>
      <x:c r="C700" s="34"/>
      <x:c r="D700" s="34"/>
      <x:c r="E700" s="34"/>
      <x:c r="F700" s="35"/>
    </x:row>
    <x:row r="701" ht="24" customHeight="1">
      <x:c r="A701" s="34"/>
      <x:c r="B701" s="34"/>
      <x:c r="C701" s="34"/>
      <x:c r="D701" s="34"/>
      <x:c r="E701" s="34"/>
      <x:c r="F701" s="35"/>
    </x:row>
    <x:row r="702" ht="24" customHeight="1">
      <x:c r="A702" s="34"/>
      <x:c r="B702" s="34"/>
      <x:c r="C702" s="34"/>
      <x:c r="D702" s="34"/>
      <x:c r="E702" s="34"/>
      <x:c r="F702" s="35"/>
    </x:row>
    <x:row r="703" ht="24" customHeight="1">
      <x:c r="A703" s="34"/>
      <x:c r="B703" s="34"/>
      <x:c r="C703" s="34"/>
      <x:c r="D703" s="34"/>
      <x:c r="E703" s="34"/>
      <x:c r="F703" s="35"/>
    </x:row>
    <x:row r="704" ht="24" customHeight="1">
      <x:c r="A704" s="34"/>
      <x:c r="B704" s="34"/>
      <x:c r="C704" s="34"/>
      <x:c r="D704" s="34"/>
      <x:c r="E704" s="34"/>
      <x:c r="F704" s="35"/>
    </x:row>
    <x:row r="705" ht="24" customHeight="1">
      <x:c r="A705" s="34"/>
      <x:c r="B705" s="34"/>
      <x:c r="C705" s="34"/>
      <x:c r="D705" s="34"/>
      <x:c r="E705" s="34"/>
      <x:c r="F705" s="35"/>
    </x:row>
    <x:row r="706" ht="24" customHeight="1">
      <x:c r="A706" s="34"/>
      <x:c r="B706" s="34"/>
      <x:c r="C706" s="34"/>
      <x:c r="D706" s="34"/>
      <x:c r="E706" s="34"/>
      <x:c r="F706" s="35"/>
    </x:row>
    <x:row r="707" ht="24" customHeight="1">
      <x:c r="A707" s="34"/>
      <x:c r="B707" s="34"/>
      <x:c r="C707" s="34"/>
      <x:c r="D707" s="34"/>
      <x:c r="E707" s="34"/>
      <x:c r="F707" s="35"/>
    </x:row>
    <x:row r="708" ht="24" customHeight="1">
      <x:c r="A708" s="34"/>
      <x:c r="B708" s="34"/>
      <x:c r="C708" s="34"/>
      <x:c r="D708" s="34"/>
      <x:c r="E708" s="34"/>
      <x:c r="F708" s="35"/>
    </x:row>
    <x:row r="709" ht="24" customHeight="1">
      <x:c r="A709" s="34"/>
      <x:c r="B709" s="34"/>
      <x:c r="C709" s="34"/>
      <x:c r="D709" s="34"/>
      <x:c r="E709" s="34"/>
      <x:c r="F709" s="35"/>
    </x:row>
    <x:row r="710" ht="24" customHeight="1">
      <x:c r="A710" s="34"/>
      <x:c r="B710" s="34"/>
      <x:c r="C710" s="34"/>
      <x:c r="D710" s="34"/>
      <x:c r="E710" s="34"/>
      <x:c r="F710" s="35"/>
    </x:row>
    <x:row r="711" ht="24" customHeight="1">
      <x:c r="A711" s="34"/>
      <x:c r="B711" s="34"/>
      <x:c r="C711" s="34"/>
      <x:c r="D711" s="34"/>
      <x:c r="E711" s="34"/>
      <x:c r="F711" s="35"/>
    </x:row>
    <x:row r="712" ht="24" customHeight="1">
      <x:c r="A712" s="34"/>
      <x:c r="B712" s="34"/>
      <x:c r="C712" s="34"/>
      <x:c r="D712" s="34"/>
      <x:c r="E712" s="34"/>
      <x:c r="F712" s="35"/>
    </x:row>
    <x:row r="713" ht="24" customHeight="1">
      <x:c r="A713" s="34"/>
      <x:c r="B713" s="34"/>
      <x:c r="C713" s="34"/>
      <x:c r="D713" s="34"/>
      <x:c r="E713" s="34"/>
      <x:c r="F713" s="35"/>
    </x:row>
    <x:row r="714" ht="24" customHeight="1">
      <x:c r="A714" s="34"/>
      <x:c r="B714" s="34"/>
      <x:c r="C714" s="34"/>
      <x:c r="D714" s="34"/>
      <x:c r="E714" s="34"/>
      <x:c r="F714" s="35"/>
    </x:row>
    <x:row r="715" ht="24" customHeight="1">
      <x:c r="A715" s="34"/>
      <x:c r="B715" s="34"/>
      <x:c r="C715" s="34"/>
      <x:c r="D715" s="34"/>
      <x:c r="E715" s="34"/>
      <x:c r="F715" s="35"/>
    </x:row>
    <x:row r="716" ht="24" customHeight="1">
      <x:c r="A716" s="34"/>
      <x:c r="B716" s="34"/>
      <x:c r="C716" s="34"/>
      <x:c r="D716" s="34"/>
      <x:c r="E716" s="34"/>
      <x:c r="F716" s="35"/>
    </x:row>
    <x:row r="717" ht="24" customHeight="1">
      <x:c r="A717" s="34"/>
      <x:c r="B717" s="34"/>
      <x:c r="C717" s="34"/>
      <x:c r="D717" s="34"/>
      <x:c r="E717" s="34"/>
      <x:c r="F717" s="35"/>
    </x:row>
    <x:row r="718" ht="24" customHeight="1">
      <x:c r="A718" s="34"/>
      <x:c r="B718" s="34"/>
      <x:c r="C718" s="34"/>
      <x:c r="D718" s="34"/>
      <x:c r="E718" s="34"/>
      <x:c r="F718" s="35"/>
    </x:row>
    <x:row r="719" ht="24" customHeight="1">
      <x:c r="A719" s="34"/>
      <x:c r="B719" s="34"/>
      <x:c r="C719" s="34"/>
      <x:c r="D719" s="34"/>
      <x:c r="E719" s="34"/>
      <x:c r="F719" s="35"/>
    </x:row>
    <x:row r="720" ht="24" customHeight="1">
      <x:c r="A720" s="34"/>
      <x:c r="B720" s="34"/>
      <x:c r="C720" s="34"/>
      <x:c r="D720" s="34"/>
      <x:c r="E720" s="34"/>
      <x:c r="F720" s="35"/>
    </x:row>
    <x:row r="721" ht="24" customHeight="1">
      <x:c r="A721" s="34"/>
      <x:c r="B721" s="34"/>
      <x:c r="C721" s="34"/>
      <x:c r="D721" s="34"/>
      <x:c r="E721" s="34"/>
      <x:c r="F721" s="35"/>
    </x:row>
    <x:row r="722" ht="24" customHeight="1">
      <x:c r="A722" s="34"/>
      <x:c r="B722" s="34"/>
      <x:c r="C722" s="34"/>
      <x:c r="D722" s="34"/>
      <x:c r="E722" s="34"/>
      <x:c r="F722" s="35"/>
    </x:row>
    <x:row r="723" ht="24" customHeight="1">
      <x:c r="A723" s="34"/>
      <x:c r="B723" s="34"/>
      <x:c r="C723" s="34"/>
      <x:c r="D723" s="34"/>
      <x:c r="E723" s="34"/>
      <x:c r="F723" s="35"/>
    </x:row>
    <x:row r="724" ht="24" customHeight="1">
      <x:c r="A724" s="34"/>
      <x:c r="B724" s="34"/>
      <x:c r="C724" s="34"/>
      <x:c r="D724" s="34"/>
      <x:c r="E724" s="34"/>
      <x:c r="F724" s="35"/>
    </x:row>
    <x:row r="725" ht="24" customHeight="1">
      <x:c r="A725" s="34"/>
      <x:c r="B725" s="34"/>
      <x:c r="C725" s="34"/>
      <x:c r="D725" s="34"/>
      <x:c r="E725" s="34"/>
      <x:c r="F725" s="35"/>
    </x:row>
    <x:row r="726" ht="24" customHeight="1">
      <x:c r="A726" s="34"/>
      <x:c r="B726" s="34"/>
      <x:c r="C726" s="34"/>
      <x:c r="D726" s="34"/>
      <x:c r="E726" s="34"/>
      <x:c r="F726" s="35"/>
    </x:row>
    <x:row r="727" ht="24" customHeight="1">
      <x:c r="A727" s="34"/>
      <x:c r="B727" s="34"/>
      <x:c r="C727" s="34"/>
      <x:c r="D727" s="34"/>
      <x:c r="E727" s="34"/>
      <x:c r="F727" s="35"/>
    </x:row>
    <x:row r="728" ht="24" customHeight="1">
      <x:c r="A728" s="34"/>
      <x:c r="B728" s="34"/>
      <x:c r="C728" s="34"/>
      <x:c r="D728" s="34"/>
      <x:c r="E728" s="34"/>
      <x:c r="F728" s="35"/>
    </x:row>
    <x:row r="729" ht="24" customHeight="1">
      <x:c r="A729" s="34"/>
      <x:c r="B729" s="34"/>
      <x:c r="C729" s="34"/>
      <x:c r="D729" s="34"/>
      <x:c r="E729" s="34"/>
      <x:c r="F729" s="35"/>
    </x:row>
    <x:row r="730" ht="24" customHeight="1">
      <x:c r="A730" s="34"/>
      <x:c r="B730" s="34"/>
      <x:c r="C730" s="34"/>
      <x:c r="D730" s="34"/>
      <x:c r="E730" s="34"/>
      <x:c r="F730" s="35"/>
    </x:row>
    <x:row r="731" ht="24" customHeight="1">
      <x:c r="A731" s="34"/>
      <x:c r="B731" s="34"/>
      <x:c r="C731" s="34"/>
      <x:c r="D731" s="34"/>
      <x:c r="E731" s="34"/>
      <x:c r="F731" s="35"/>
    </x:row>
    <x:row r="732" ht="24" customHeight="1">
      <x:c r="A732" s="34"/>
      <x:c r="B732" s="34"/>
      <x:c r="C732" s="34"/>
      <x:c r="D732" s="34"/>
      <x:c r="E732" s="34"/>
      <x:c r="F732" s="35"/>
    </x:row>
    <x:row r="733" ht="24" customHeight="1">
      <x:c r="A733" s="34"/>
      <x:c r="B733" s="34"/>
      <x:c r="C733" s="34"/>
      <x:c r="D733" s="34"/>
      <x:c r="E733" s="34"/>
      <x:c r="F733" s="35"/>
    </x:row>
    <x:row r="734" ht="24" customHeight="1">
      <x:c r="A734" s="34"/>
      <x:c r="B734" s="34"/>
      <x:c r="C734" s="34"/>
      <x:c r="D734" s="34"/>
      <x:c r="E734" s="34"/>
      <x:c r="F734" s="35"/>
    </x:row>
    <x:row r="735" ht="24" customHeight="1">
      <x:c r="A735" s="34"/>
      <x:c r="B735" s="34"/>
      <x:c r="C735" s="34"/>
      <x:c r="D735" s="34"/>
      <x:c r="E735" s="34"/>
      <x:c r="F735" s="35"/>
    </x:row>
    <x:row r="736" ht="24" customHeight="1">
      <x:c r="A736" s="34"/>
      <x:c r="B736" s="34"/>
      <x:c r="C736" s="34"/>
      <x:c r="D736" s="34"/>
      <x:c r="E736" s="34"/>
      <x:c r="F736" s="35"/>
    </x:row>
    <x:row r="737" ht="24" customHeight="1">
      <x:c r="A737" s="34"/>
      <x:c r="B737" s="34"/>
      <x:c r="C737" s="34"/>
      <x:c r="D737" s="34"/>
      <x:c r="E737" s="34"/>
      <x:c r="F737" s="35"/>
    </x:row>
    <x:row r="738" ht="24" customHeight="1">
      <x:c r="A738" s="34"/>
      <x:c r="B738" s="34"/>
      <x:c r="C738" s="34"/>
      <x:c r="D738" s="34"/>
      <x:c r="E738" s="34"/>
      <x:c r="F738" s="35"/>
    </x:row>
    <x:row r="739" ht="24" customHeight="1">
      <x:c r="A739" s="34"/>
      <x:c r="B739" s="34"/>
      <x:c r="C739" s="34"/>
      <x:c r="D739" s="34"/>
      <x:c r="E739" s="34"/>
      <x:c r="F739" s="35"/>
    </x:row>
    <x:row r="740" ht="24" customHeight="1">
      <x:c r="A740" s="34"/>
      <x:c r="B740" s="34"/>
      <x:c r="C740" s="34"/>
      <x:c r="D740" s="34"/>
      <x:c r="E740" s="34"/>
      <x:c r="F740" s="35"/>
    </x:row>
    <x:row r="741" ht="24" customHeight="1">
      <x:c r="A741" s="34"/>
      <x:c r="B741" s="34"/>
      <x:c r="C741" s="34"/>
      <x:c r="D741" s="34"/>
      <x:c r="E741" s="34"/>
      <x:c r="F741" s="35"/>
    </x:row>
    <x:row r="742" ht="24" customHeight="1">
      <x:c r="A742" s="34"/>
      <x:c r="B742" s="34"/>
      <x:c r="C742" s="34"/>
      <x:c r="D742" s="34"/>
      <x:c r="E742" s="34"/>
      <x:c r="F742" s="35"/>
    </x:row>
    <x:row r="743" ht="24" customHeight="1">
      <x:c r="A743" s="34"/>
      <x:c r="B743" s="34"/>
      <x:c r="C743" s="34"/>
      <x:c r="D743" s="34"/>
      <x:c r="E743" s="34"/>
      <x:c r="F743" s="35"/>
    </x:row>
    <x:row r="744" ht="24" customHeight="1">
      <x:c r="A744" s="34"/>
      <x:c r="B744" s="34"/>
      <x:c r="C744" s="34"/>
      <x:c r="D744" s="34"/>
      <x:c r="E744" s="34"/>
      <x:c r="F744" s="35"/>
    </x:row>
    <x:row r="745" ht="24" customHeight="1">
      <x:c r="A745" s="34"/>
      <x:c r="B745" s="34"/>
      <x:c r="C745" s="34"/>
      <x:c r="D745" s="34"/>
      <x:c r="E745" s="34"/>
      <x:c r="F745" s="35"/>
    </x:row>
    <x:row r="746" ht="24" customHeight="1">
      <x:c r="A746" s="34"/>
      <x:c r="B746" s="34"/>
      <x:c r="C746" s="34"/>
      <x:c r="D746" s="34"/>
      <x:c r="E746" s="34"/>
      <x:c r="F746" s="35"/>
    </x:row>
    <x:row r="747" ht="24" customHeight="1">
      <x:c r="A747" s="34"/>
      <x:c r="B747" s="34"/>
      <x:c r="C747" s="34"/>
      <x:c r="D747" s="34"/>
      <x:c r="E747" s="34"/>
      <x:c r="F747" s="35"/>
    </x:row>
    <x:row r="748" ht="24" customHeight="1">
      <x:c r="A748" s="34"/>
      <x:c r="B748" s="34"/>
      <x:c r="C748" s="34"/>
      <x:c r="D748" s="34"/>
      <x:c r="E748" s="34"/>
      <x:c r="F748" s="35"/>
    </x:row>
    <x:row r="749" ht="24" customHeight="1">
      <x:c r="A749" s="34"/>
      <x:c r="B749" s="34"/>
      <x:c r="C749" s="34"/>
      <x:c r="D749" s="34"/>
      <x:c r="E749" s="34"/>
      <x:c r="F749" s="35"/>
    </x:row>
    <x:row r="750" ht="24" customHeight="1">
      <x:c r="A750" s="34"/>
      <x:c r="B750" s="34"/>
      <x:c r="C750" s="34"/>
      <x:c r="D750" s="34"/>
      <x:c r="E750" s="34"/>
      <x:c r="F750" s="35"/>
    </x:row>
    <x:row r="751" ht="24" customHeight="1">
      <x:c r="A751" s="34"/>
      <x:c r="B751" s="34"/>
      <x:c r="C751" s="34"/>
      <x:c r="D751" s="34"/>
      <x:c r="E751" s="34"/>
      <x:c r="F751" s="35"/>
    </x:row>
    <x:row r="752" ht="24" customHeight="1">
      <x:c r="A752" s="34"/>
      <x:c r="B752" s="34"/>
      <x:c r="C752" s="34"/>
      <x:c r="D752" s="34"/>
      <x:c r="E752" s="34"/>
      <x:c r="F752" s="35"/>
    </x:row>
    <x:row r="753" ht="24" customHeight="1">
      <x:c r="A753" s="34"/>
      <x:c r="B753" s="34"/>
      <x:c r="C753" s="34"/>
      <x:c r="D753" s="34"/>
      <x:c r="E753" s="34"/>
      <x:c r="F753" s="35"/>
    </x:row>
    <x:row r="754" ht="24" customHeight="1">
      <x:c r="A754" s="34"/>
      <x:c r="B754" s="34"/>
      <x:c r="C754" s="34"/>
      <x:c r="D754" s="34"/>
      <x:c r="E754" s="34"/>
      <x:c r="F754" s="35"/>
    </x:row>
    <x:row r="755" ht="24" customHeight="1">
      <x:c r="A755" s="34"/>
      <x:c r="B755" s="34"/>
      <x:c r="C755" s="34"/>
      <x:c r="D755" s="34"/>
      <x:c r="E755" s="34"/>
      <x:c r="F755" s="35"/>
    </x:row>
    <x:row r="756" ht="24" customHeight="1">
      <x:c r="A756" s="34"/>
      <x:c r="B756" s="34"/>
      <x:c r="C756" s="34"/>
      <x:c r="D756" s="34"/>
      <x:c r="E756" s="34"/>
      <x:c r="F756" s="35"/>
    </x:row>
    <x:row r="757" ht="24" customHeight="1">
      <x:c r="A757" s="34"/>
      <x:c r="B757" s="34"/>
      <x:c r="C757" s="34"/>
      <x:c r="D757" s="34"/>
      <x:c r="E757" s="34"/>
      <x:c r="F757" s="35"/>
    </x:row>
    <x:row r="758" ht="24" customHeight="1">
      <x:c r="A758" s="34"/>
      <x:c r="B758" s="34"/>
      <x:c r="C758" s="34"/>
      <x:c r="D758" s="34"/>
      <x:c r="E758" s="34"/>
      <x:c r="F758" s="35"/>
    </x:row>
    <x:row r="759" ht="24" customHeight="1">
      <x:c r="A759" s="34"/>
      <x:c r="B759" s="34"/>
      <x:c r="C759" s="34"/>
      <x:c r="D759" s="34"/>
      <x:c r="E759" s="34"/>
      <x:c r="F759" s="35"/>
    </x:row>
    <x:row r="760" ht="24" customHeight="1">
      <x:c r="A760" s="34"/>
      <x:c r="B760" s="34"/>
      <x:c r="C760" s="34"/>
      <x:c r="D760" s="34"/>
      <x:c r="E760" s="34"/>
      <x:c r="F760" s="35"/>
    </x:row>
    <x:row r="761" ht="24" customHeight="1">
      <x:c r="A761" s="34"/>
      <x:c r="B761" s="34"/>
      <x:c r="C761" s="34"/>
      <x:c r="D761" s="34"/>
      <x:c r="E761" s="34"/>
      <x:c r="F761" s="35"/>
    </x:row>
    <x:row r="762" ht="24" customHeight="1">
      <x:c r="A762" s="34"/>
      <x:c r="B762" s="34"/>
      <x:c r="C762" s="34"/>
      <x:c r="D762" s="34"/>
      <x:c r="E762" s="34"/>
      <x:c r="F762" s="35"/>
    </x:row>
    <x:row r="763" ht="24" customHeight="1">
      <x:c r="A763" s="34"/>
      <x:c r="B763" s="34"/>
      <x:c r="C763" s="34"/>
      <x:c r="D763" s="34"/>
      <x:c r="E763" s="34"/>
      <x:c r="F763" s="35"/>
    </x:row>
    <x:row r="764" ht="24" customHeight="1">
      <x:c r="A764" s="34"/>
      <x:c r="B764" s="34"/>
      <x:c r="C764" s="34"/>
      <x:c r="D764" s="34"/>
      <x:c r="E764" s="34"/>
      <x:c r="F764" s="35"/>
    </x:row>
    <x:row r="765" ht="24" customHeight="1">
      <x:c r="A765" s="34"/>
      <x:c r="B765" s="34"/>
      <x:c r="C765" s="34"/>
      <x:c r="D765" s="34"/>
      <x:c r="E765" s="34"/>
      <x:c r="F765" s="35"/>
    </x:row>
    <x:row r="766" ht="24" customHeight="1">
      <x:c r="A766" s="34"/>
      <x:c r="B766" s="34"/>
      <x:c r="C766" s="34"/>
      <x:c r="D766" s="34"/>
      <x:c r="E766" s="34"/>
      <x:c r="F766" s="35"/>
    </x:row>
    <x:row r="767" ht="24" customHeight="1">
      <x:c r="A767" s="34"/>
      <x:c r="B767" s="34"/>
      <x:c r="C767" s="34"/>
      <x:c r="D767" s="34"/>
      <x:c r="E767" s="34"/>
      <x:c r="F767" s="35"/>
    </x:row>
    <x:row r="768" ht="24" customHeight="1">
      <x:c r="A768" s="34"/>
      <x:c r="B768" s="34"/>
      <x:c r="C768" s="34"/>
      <x:c r="D768" s="34"/>
      <x:c r="E768" s="34"/>
      <x:c r="F768" s="35"/>
    </x:row>
    <x:row r="769" ht="24" customHeight="1">
      <x:c r="A769" s="34"/>
      <x:c r="B769" s="34"/>
      <x:c r="C769" s="34"/>
      <x:c r="D769" s="34"/>
      <x:c r="E769" s="34"/>
      <x:c r="F769" s="35"/>
    </x:row>
    <x:row r="770" ht="24" customHeight="1">
      <x:c r="A770" s="34"/>
      <x:c r="B770" s="34"/>
      <x:c r="C770" s="34"/>
      <x:c r="D770" s="34"/>
      <x:c r="E770" s="34"/>
      <x:c r="F770" s="35"/>
    </x:row>
    <x:row r="771" ht="24" customHeight="1">
      <x:c r="A771" s="34"/>
      <x:c r="B771" s="34"/>
      <x:c r="C771" s="34"/>
      <x:c r="D771" s="34"/>
      <x:c r="E771" s="34"/>
      <x:c r="F771" s="35"/>
    </x:row>
    <x:row r="772" ht="24" customHeight="1">
      <x:c r="A772" s="34"/>
      <x:c r="B772" s="34"/>
      <x:c r="C772" s="34"/>
      <x:c r="D772" s="34"/>
      <x:c r="E772" s="34"/>
      <x:c r="F772" s="35"/>
    </x:row>
    <x:row r="773" ht="24" customHeight="1">
      <x:c r="A773" s="34"/>
      <x:c r="B773" s="34"/>
      <x:c r="C773" s="34"/>
      <x:c r="D773" s="34"/>
      <x:c r="E773" s="34"/>
      <x:c r="F773" s="35"/>
    </x:row>
    <x:row r="774" ht="24" customHeight="1">
      <x:c r="A774" s="34"/>
      <x:c r="B774" s="34"/>
      <x:c r="C774" s="34"/>
      <x:c r="D774" s="34"/>
      <x:c r="E774" s="34"/>
      <x:c r="F774" s="35"/>
    </x:row>
    <x:row r="775" ht="24" customHeight="1">
      <x:c r="A775" s="34"/>
      <x:c r="B775" s="34"/>
      <x:c r="C775" s="34"/>
      <x:c r="D775" s="34"/>
      <x:c r="E775" s="34"/>
      <x:c r="F775" s="35"/>
    </x:row>
    <x:row r="776" ht="24" customHeight="1">
      <x:c r="A776" s="34"/>
      <x:c r="B776" s="34"/>
      <x:c r="C776" s="34"/>
      <x:c r="D776" s="34"/>
      <x:c r="E776" s="34"/>
      <x:c r="F776" s="35"/>
    </x:row>
    <x:row r="777" ht="24" customHeight="1">
      <x:c r="A777" s="34"/>
      <x:c r="B777" s="34"/>
      <x:c r="C777" s="34"/>
      <x:c r="D777" s="34"/>
      <x:c r="E777" s="34"/>
      <x:c r="F777" s="35"/>
    </x:row>
    <x:row r="778" ht="24" customHeight="1">
      <x:c r="A778" s="34"/>
      <x:c r="B778" s="34"/>
      <x:c r="C778" s="34"/>
      <x:c r="D778" s="34"/>
      <x:c r="E778" s="34"/>
      <x:c r="F778" s="35"/>
    </x:row>
    <x:row r="779" ht="24" customHeight="1">
      <x:c r="A779" s="34"/>
      <x:c r="B779" s="34"/>
      <x:c r="C779" s="34"/>
      <x:c r="D779" s="34"/>
      <x:c r="E779" s="34"/>
      <x:c r="F779" s="35"/>
    </x:row>
    <x:row r="780" ht="24" customHeight="1">
      <x:c r="A780" s="34"/>
      <x:c r="B780" s="34"/>
      <x:c r="C780" s="34"/>
      <x:c r="D780" s="34"/>
      <x:c r="E780" s="34"/>
      <x:c r="F780" s="35"/>
    </x:row>
    <x:row r="781" ht="24" customHeight="1">
      <x:c r="A781" s="34"/>
      <x:c r="B781" s="34"/>
      <x:c r="C781" s="34"/>
      <x:c r="D781" s="34"/>
      <x:c r="E781" s="34"/>
      <x:c r="F781" s="35"/>
    </x:row>
    <x:row r="782" ht="24" customHeight="1">
      <x:c r="A782" s="34"/>
      <x:c r="B782" s="34"/>
      <x:c r="C782" s="34"/>
      <x:c r="D782" s="34"/>
      <x:c r="E782" s="34"/>
      <x:c r="F782" s="35"/>
    </x:row>
    <x:row r="783" ht="24" customHeight="1">
      <x:c r="A783" s="34"/>
      <x:c r="B783" s="34"/>
      <x:c r="C783" s="34"/>
      <x:c r="D783" s="34"/>
      <x:c r="E783" s="34"/>
      <x:c r="F783" s="35"/>
    </x:row>
    <x:row r="784" ht="24" customHeight="1">
      <x:c r="A784" s="34"/>
      <x:c r="B784" s="34"/>
      <x:c r="C784" s="34"/>
      <x:c r="D784" s="34"/>
      <x:c r="E784" s="34"/>
      <x:c r="F784" s="35"/>
    </x:row>
    <x:row r="785" ht="24" customHeight="1">
      <x:c r="A785" s="34"/>
      <x:c r="B785" s="34"/>
      <x:c r="C785" s="34"/>
      <x:c r="D785" s="34"/>
      <x:c r="E785" s="34"/>
      <x:c r="F785" s="35"/>
    </x:row>
    <x:row r="786" ht="24" customHeight="1">
      <x:c r="A786" s="34"/>
      <x:c r="B786" s="34"/>
      <x:c r="C786" s="34"/>
      <x:c r="D786" s="34"/>
      <x:c r="E786" s="34"/>
      <x:c r="F786" s="35"/>
    </x:row>
    <x:row r="787" ht="24" customHeight="1">
      <x:c r="A787" s="34"/>
      <x:c r="B787" s="34"/>
      <x:c r="C787" s="34"/>
      <x:c r="D787" s="34"/>
      <x:c r="E787" s="34"/>
      <x:c r="F787" s="35"/>
    </x:row>
    <x:row r="788" ht="24" customHeight="1">
      <x:c r="A788" s="34"/>
      <x:c r="B788" s="34"/>
      <x:c r="C788" s="34"/>
      <x:c r="D788" s="34"/>
      <x:c r="E788" s="34"/>
      <x:c r="F788" s="35"/>
    </x:row>
    <x:row r="789" ht="24" customHeight="1">
      <x:c r="A789" s="34"/>
      <x:c r="B789" s="34"/>
      <x:c r="C789" s="34"/>
      <x:c r="D789" s="34"/>
      <x:c r="E789" s="34"/>
      <x:c r="F789" s="35"/>
    </x:row>
    <x:row r="790" ht="24" customHeight="1">
      <x:c r="A790" s="34"/>
      <x:c r="B790" s="34"/>
      <x:c r="C790" s="34"/>
      <x:c r="D790" s="34"/>
      <x:c r="E790" s="34"/>
      <x:c r="F790" s="35"/>
    </x:row>
    <x:row r="791" ht="24" customHeight="1">
      <x:c r="A791" s="34"/>
      <x:c r="B791" s="34"/>
      <x:c r="C791" s="34"/>
      <x:c r="D791" s="34"/>
      <x:c r="E791" s="34"/>
      <x:c r="F791" s="35"/>
    </x:row>
    <x:row r="792" ht="24" customHeight="1">
      <x:c r="A792" s="34"/>
      <x:c r="B792" s="34"/>
      <x:c r="C792" s="34"/>
      <x:c r="D792" s="34"/>
      <x:c r="E792" s="34"/>
      <x:c r="F792" s="35"/>
    </x:row>
    <x:row r="793" ht="24" customHeight="1">
      <x:c r="A793" s="34"/>
      <x:c r="B793" s="34"/>
      <x:c r="C793" s="34"/>
      <x:c r="D793" s="34"/>
      <x:c r="E793" s="34"/>
      <x:c r="F793" s="35"/>
    </x:row>
    <x:row r="794" ht="24" customHeight="1">
      <x:c r="A794" s="34"/>
      <x:c r="B794" s="34"/>
      <x:c r="C794" s="34"/>
      <x:c r="D794" s="34"/>
      <x:c r="E794" s="34"/>
      <x:c r="F794" s="35"/>
    </x:row>
    <x:row r="795" ht="24" customHeight="1">
      <x:c r="A795" s="34"/>
      <x:c r="B795" s="34"/>
      <x:c r="C795" s="34"/>
      <x:c r="D795" s="34"/>
      <x:c r="E795" s="34"/>
      <x:c r="F795" s="35"/>
    </x:row>
    <x:row r="796" ht="24" customHeight="1">
      <x:c r="A796" s="34"/>
      <x:c r="B796" s="34"/>
      <x:c r="C796" s="34"/>
      <x:c r="D796" s="34"/>
      <x:c r="E796" s="34"/>
      <x:c r="F796" s="35"/>
    </x:row>
    <x:row r="797" ht="24" customHeight="1">
      <x:c r="A797" s="34"/>
      <x:c r="B797" s="34"/>
      <x:c r="C797" s="34"/>
      <x:c r="D797" s="34"/>
      <x:c r="E797" s="34"/>
      <x:c r="F797" s="35"/>
    </x:row>
    <x:row r="798" ht="24" customHeight="1">
      <x:c r="A798" s="34"/>
      <x:c r="B798" s="34"/>
      <x:c r="C798" s="34"/>
      <x:c r="D798" s="34"/>
      <x:c r="E798" s="34"/>
      <x:c r="F798" s="35"/>
    </x:row>
    <x:row r="799" ht="24" customHeight="1">
      <x:c r="A799" s="34"/>
      <x:c r="B799" s="34"/>
      <x:c r="C799" s="34"/>
      <x:c r="D799" s="34"/>
      <x:c r="E799" s="34"/>
      <x:c r="F799" s="35"/>
    </x:row>
    <x:row r="800" ht="24" customHeight="1">
      <x:c r="A800" s="34"/>
      <x:c r="B800" s="34"/>
      <x:c r="C800" s="34"/>
      <x:c r="D800" s="34"/>
      <x:c r="E800" s="34"/>
      <x:c r="F800" s="35"/>
    </x:row>
    <x:row r="801" ht="24" customHeight="1">
      <x:c r="A801" s="34"/>
      <x:c r="B801" s="34"/>
      <x:c r="C801" s="34"/>
      <x:c r="D801" s="34"/>
      <x:c r="E801" s="34"/>
      <x:c r="F801" s="35"/>
    </x:row>
    <x:row r="802" ht="24" customHeight="1">
      <x:c r="A802" s="34"/>
      <x:c r="B802" s="34"/>
      <x:c r="C802" s="34"/>
      <x:c r="D802" s="34"/>
      <x:c r="E802" s="34"/>
      <x:c r="F802" s="35"/>
    </x:row>
    <x:row r="803" ht="24" customHeight="1">
      <x:c r="A803" s="34"/>
      <x:c r="B803" s="34"/>
      <x:c r="C803" s="34"/>
      <x:c r="D803" s="34"/>
      <x:c r="E803" s="34"/>
      <x:c r="F803" s="35"/>
    </x:row>
    <x:row r="804" ht="24" customHeight="1">
      <x:c r="A804" s="34"/>
      <x:c r="B804" s="34"/>
      <x:c r="C804" s="34"/>
      <x:c r="D804" s="34"/>
      <x:c r="E804" s="34"/>
      <x:c r="F804" s="35"/>
    </x:row>
    <x:row r="805" ht="24" customHeight="1">
      <x:c r="A805" s="34"/>
      <x:c r="B805" s="34"/>
      <x:c r="C805" s="34"/>
      <x:c r="D805" s="34"/>
      <x:c r="E805" s="34"/>
      <x:c r="F805" s="35"/>
    </x:row>
    <x:row r="806" ht="24" customHeight="1">
      <x:c r="A806" s="34"/>
      <x:c r="B806" s="34"/>
      <x:c r="C806" s="34"/>
      <x:c r="D806" s="34"/>
      <x:c r="E806" s="34"/>
      <x:c r="F806" s="35"/>
    </x:row>
    <x:row r="807" ht="24" customHeight="1">
      <x:c r="A807" s="34"/>
      <x:c r="B807" s="34"/>
      <x:c r="C807" s="34"/>
      <x:c r="D807" s="34"/>
      <x:c r="E807" s="34"/>
      <x:c r="F807" s="35"/>
    </x:row>
    <x:row r="808" ht="24" customHeight="1">
      <x:c r="A808" s="34"/>
      <x:c r="B808" s="34"/>
      <x:c r="C808" s="34"/>
      <x:c r="D808" s="34"/>
      <x:c r="E808" s="34"/>
      <x:c r="F808" s="35"/>
    </x:row>
    <x:row r="809" ht="24" customHeight="1">
      <x:c r="A809" s="34"/>
      <x:c r="B809" s="34"/>
      <x:c r="C809" s="34"/>
      <x:c r="D809" s="34"/>
      <x:c r="E809" s="34"/>
      <x:c r="F809" s="35"/>
    </x:row>
    <x:row r="810" ht="24" customHeight="1">
      <x:c r="A810" s="34"/>
      <x:c r="B810" s="34"/>
      <x:c r="C810" s="34"/>
      <x:c r="D810" s="34"/>
      <x:c r="E810" s="34"/>
      <x:c r="F810" s="35"/>
    </x:row>
    <x:row r="811" ht="24" customHeight="1">
      <x:c r="A811" s="34"/>
      <x:c r="B811" s="34"/>
      <x:c r="C811" s="34"/>
      <x:c r="D811" s="34"/>
      <x:c r="E811" s="34"/>
      <x:c r="F811" s="35"/>
    </x:row>
    <x:row r="812" ht="24" customHeight="1">
      <x:c r="A812" s="34"/>
      <x:c r="B812" s="34"/>
      <x:c r="C812" s="34"/>
      <x:c r="D812" s="34"/>
      <x:c r="E812" s="34"/>
      <x:c r="F812" s="35"/>
    </x:row>
    <x:row r="813" ht="24" customHeight="1">
      <x:c r="A813" s="34"/>
      <x:c r="B813" s="34"/>
      <x:c r="C813" s="34"/>
      <x:c r="D813" s="34"/>
      <x:c r="E813" s="34"/>
      <x:c r="F813" s="35"/>
    </x:row>
    <x:row r="814" ht="24" customHeight="1">
      <x:c r="A814" s="34"/>
      <x:c r="B814" s="34"/>
      <x:c r="C814" s="34"/>
      <x:c r="D814" s="34"/>
      <x:c r="E814" s="34"/>
      <x:c r="F814" s="35"/>
    </x:row>
    <x:row r="815" ht="24" customHeight="1">
      <x:c r="A815" s="34"/>
      <x:c r="B815" s="34"/>
      <x:c r="C815" s="34"/>
      <x:c r="D815" s="34"/>
      <x:c r="E815" s="34"/>
      <x:c r="F815" s="35"/>
    </x:row>
    <x:row r="816" ht="24" customHeight="1">
      <x:c r="A816" s="34"/>
      <x:c r="B816" s="34"/>
      <x:c r="C816" s="34"/>
      <x:c r="D816" s="34"/>
      <x:c r="E816" s="34"/>
      <x:c r="F816" s="35"/>
    </x:row>
    <x:row r="817" ht="24" customHeight="1">
      <x:c r="A817" s="34"/>
      <x:c r="B817" s="34"/>
      <x:c r="C817" s="34"/>
      <x:c r="D817" s="34"/>
      <x:c r="E817" s="34"/>
      <x:c r="F817" s="35"/>
    </x:row>
    <x:row r="818" ht="24" customHeight="1">
      <x:c r="A818" s="34"/>
      <x:c r="B818" s="34"/>
      <x:c r="C818" s="34"/>
      <x:c r="D818" s="34"/>
      <x:c r="E818" s="34"/>
      <x:c r="F818" s="35"/>
    </x:row>
    <x:row r="819" ht="24" customHeight="1">
      <x:c r="A819" s="34"/>
      <x:c r="B819" s="34"/>
      <x:c r="C819" s="34"/>
      <x:c r="D819" s="34"/>
      <x:c r="E819" s="34"/>
      <x:c r="F819" s="35"/>
    </x:row>
    <x:row r="820" ht="24" customHeight="1">
      <x:c r="A820" s="34"/>
      <x:c r="B820" s="34"/>
      <x:c r="C820" s="34"/>
      <x:c r="D820" s="34"/>
      <x:c r="E820" s="34"/>
      <x:c r="F820" s="35"/>
    </x:row>
    <x:row r="821" ht="24" customHeight="1">
      <x:c r="A821" s="34"/>
      <x:c r="B821" s="34"/>
      <x:c r="C821" s="34"/>
      <x:c r="D821" s="34"/>
      <x:c r="E821" s="34"/>
      <x:c r="F821" s="35"/>
    </x:row>
    <x:row r="822" ht="24" customHeight="1">
      <x:c r="A822" s="34"/>
      <x:c r="B822" s="34"/>
      <x:c r="C822" s="34"/>
      <x:c r="D822" s="34"/>
      <x:c r="E822" s="34"/>
      <x:c r="F822" s="35"/>
    </x:row>
    <x:row r="823" ht="24" customHeight="1">
      <x:c r="A823" s="34"/>
      <x:c r="B823" s="34"/>
      <x:c r="C823" s="34"/>
      <x:c r="D823" s="34"/>
      <x:c r="E823" s="34"/>
      <x:c r="F823" s="35"/>
    </x:row>
    <x:row r="824" ht="24" customHeight="1">
      <x:c r="A824" s="34"/>
      <x:c r="B824" s="34"/>
      <x:c r="C824" s="34"/>
      <x:c r="D824" s="34"/>
      <x:c r="E824" s="34"/>
      <x:c r="F824" s="35"/>
    </x:row>
    <x:row r="825" ht="24" customHeight="1">
      <x:c r="A825" s="34"/>
      <x:c r="B825" s="34"/>
      <x:c r="C825" s="34"/>
      <x:c r="D825" s="34"/>
      <x:c r="E825" s="34"/>
      <x:c r="F825" s="35"/>
    </x:row>
    <x:row r="826" ht="24" customHeight="1">
      <x:c r="A826" s="34"/>
      <x:c r="B826" s="34"/>
      <x:c r="C826" s="34"/>
      <x:c r="D826" s="34"/>
      <x:c r="E826" s="34"/>
      <x:c r="F826" s="35"/>
    </x:row>
    <x:row r="827" ht="24" customHeight="1">
      <x:c r="A827" s="34"/>
      <x:c r="B827" s="34"/>
      <x:c r="C827" s="34"/>
      <x:c r="D827" s="34"/>
      <x:c r="E827" s="34"/>
      <x:c r="F827" s="35"/>
    </x:row>
    <x:row r="828" ht="24" customHeight="1">
      <x:c r="A828" s="34"/>
      <x:c r="B828" s="34"/>
      <x:c r="C828" s="34"/>
      <x:c r="D828" s="34"/>
      <x:c r="E828" s="34"/>
      <x:c r="F828" s="35"/>
    </x:row>
    <x:row r="829" ht="24" customHeight="1">
      <x:c r="A829" s="34"/>
      <x:c r="B829" s="34"/>
      <x:c r="C829" s="34"/>
      <x:c r="D829" s="34"/>
      <x:c r="E829" s="34"/>
      <x:c r="F829" s="35"/>
    </x:row>
    <x:row r="830" ht="24" customHeight="1">
      <x:c r="A830" s="34"/>
      <x:c r="B830" s="34"/>
      <x:c r="C830" s="34"/>
      <x:c r="D830" s="34"/>
      <x:c r="E830" s="34"/>
      <x:c r="F830" s="35"/>
    </x:row>
    <x:row r="831" ht="24" customHeight="1">
      <x:c r="A831" s="34"/>
      <x:c r="B831" s="34"/>
      <x:c r="C831" s="34"/>
      <x:c r="D831" s="34"/>
      <x:c r="E831" s="34"/>
      <x:c r="F831" s="35"/>
    </x:row>
    <x:row r="832" ht="24" customHeight="1">
      <x:c r="A832" s="34"/>
      <x:c r="B832" s="34"/>
      <x:c r="C832" s="34"/>
      <x:c r="D832" s="34"/>
      <x:c r="E832" s="34"/>
      <x:c r="F832" s="35"/>
    </x:row>
    <x:row r="833" ht="24" customHeight="1">
      <x:c r="A833" s="34"/>
      <x:c r="B833" s="34"/>
      <x:c r="C833" s="34"/>
      <x:c r="D833" s="34"/>
      <x:c r="E833" s="34"/>
      <x:c r="F833" s="35"/>
    </x:row>
    <x:row r="834" ht="24" customHeight="1">
      <x:c r="A834" s="34"/>
      <x:c r="B834" s="34"/>
      <x:c r="C834" s="34"/>
      <x:c r="D834" s="34"/>
      <x:c r="E834" s="34"/>
      <x:c r="F834" s="35"/>
    </x:row>
    <x:row r="835" ht="24" customHeight="1">
      <x:c r="A835" s="34"/>
      <x:c r="B835" s="34"/>
      <x:c r="C835" s="34"/>
      <x:c r="D835" s="34"/>
      <x:c r="E835" s="34"/>
      <x:c r="F835" s="35"/>
    </x:row>
    <x:row r="836" ht="24" customHeight="1">
      <x:c r="A836" s="34"/>
      <x:c r="B836" s="34"/>
      <x:c r="C836" s="34"/>
      <x:c r="D836" s="34"/>
      <x:c r="E836" s="34"/>
      <x:c r="F836" s="35"/>
    </x:row>
    <x:row r="837" ht="24" customHeight="1">
      <x:c r="A837" s="34"/>
      <x:c r="B837" s="34"/>
      <x:c r="C837" s="34"/>
      <x:c r="D837" s="34"/>
      <x:c r="E837" s="34"/>
      <x:c r="F837" s="35"/>
    </x:row>
    <x:row r="838" ht="24" customHeight="1">
      <x:c r="A838" s="34"/>
      <x:c r="B838" s="34"/>
      <x:c r="C838" s="34"/>
      <x:c r="D838" s="34"/>
      <x:c r="E838" s="34"/>
      <x:c r="F838" s="35"/>
    </x:row>
    <x:row r="839" ht="24" customHeight="1">
      <x:c r="A839" s="34"/>
      <x:c r="B839" s="34"/>
      <x:c r="C839" s="34"/>
      <x:c r="D839" s="34"/>
      <x:c r="E839" s="34"/>
      <x:c r="F839" s="35"/>
    </x:row>
    <x:row r="840" ht="24" customHeight="1">
      <x:c r="A840" s="34"/>
      <x:c r="B840" s="34"/>
      <x:c r="C840" s="34"/>
      <x:c r="D840" s="34"/>
      <x:c r="E840" s="34"/>
      <x:c r="F840" s="35"/>
    </x:row>
    <x:row r="841" ht="24" customHeight="1">
      <x:c r="A841" s="34"/>
      <x:c r="B841" s="34"/>
      <x:c r="C841" s="34"/>
      <x:c r="D841" s="34"/>
      <x:c r="E841" s="34"/>
      <x:c r="F841" s="35"/>
    </x:row>
    <x:row r="842" ht="24" customHeight="1">
      <x:c r="A842" s="34"/>
      <x:c r="B842" s="34"/>
      <x:c r="C842" s="34"/>
      <x:c r="D842" s="34"/>
      <x:c r="E842" s="34"/>
      <x:c r="F842" s="35"/>
    </x:row>
    <x:row r="843" ht="24" customHeight="1">
      <x:c r="A843" s="34"/>
      <x:c r="B843" s="34"/>
      <x:c r="C843" s="34"/>
      <x:c r="D843" s="34"/>
      <x:c r="E843" s="34"/>
      <x:c r="F843" s="35"/>
    </x:row>
    <x:row r="844" ht="24" customHeight="1">
      <x:c r="A844" s="34"/>
      <x:c r="B844" s="34"/>
      <x:c r="C844" s="34"/>
      <x:c r="D844" s="34"/>
      <x:c r="E844" s="34"/>
      <x:c r="F844" s="35"/>
    </x:row>
    <x:row r="845" ht="24" customHeight="1">
      <x:c r="A845" s="34"/>
      <x:c r="B845" s="34"/>
      <x:c r="C845" s="34"/>
      <x:c r="D845" s="34"/>
      <x:c r="E845" s="34"/>
      <x:c r="F845" s="35"/>
    </x:row>
    <x:row r="846" ht="24" customHeight="1">
      <x:c r="A846" s="34"/>
      <x:c r="B846" s="34"/>
      <x:c r="C846" s="34"/>
      <x:c r="D846" s="34"/>
      <x:c r="E846" s="34"/>
      <x:c r="F846" s="35"/>
    </x:row>
    <x:row r="847" ht="24" customHeight="1">
      <x:c r="A847" s="34"/>
      <x:c r="B847" s="34"/>
      <x:c r="C847" s="34"/>
      <x:c r="D847" s="34"/>
      <x:c r="E847" s="34"/>
      <x:c r="F847" s="35"/>
    </x:row>
    <x:row r="848" ht="24" customHeight="1">
      <x:c r="A848" s="34"/>
      <x:c r="B848" s="34"/>
      <x:c r="C848" s="34"/>
      <x:c r="D848" s="34"/>
      <x:c r="E848" s="34"/>
      <x:c r="F848" s="35"/>
    </x:row>
    <x:row r="849" ht="24" customHeight="1">
      <x:c r="A849" s="34"/>
      <x:c r="B849" s="34"/>
      <x:c r="C849" s="34"/>
      <x:c r="D849" s="34"/>
      <x:c r="E849" s="34"/>
      <x:c r="F849" s="35"/>
    </x:row>
    <x:row r="850" ht="24" customHeight="1">
      <x:c r="A850" s="34"/>
      <x:c r="B850" s="34"/>
      <x:c r="C850" s="34"/>
      <x:c r="D850" s="34"/>
      <x:c r="E850" s="34"/>
      <x:c r="F850" s="35"/>
    </x:row>
    <x:row r="851" ht="24" customHeight="1">
      <x:c r="A851" s="34"/>
      <x:c r="B851" s="34"/>
      <x:c r="C851" s="34"/>
      <x:c r="D851" s="34"/>
      <x:c r="E851" s="34"/>
      <x:c r="F851" s="35"/>
    </x:row>
    <x:row r="852" ht="24" customHeight="1">
      <x:c r="A852" s="34"/>
      <x:c r="B852" s="34"/>
      <x:c r="C852" s="34"/>
      <x:c r="D852" s="34"/>
      <x:c r="E852" s="34"/>
      <x:c r="F852" s="35"/>
    </x:row>
    <x:row r="853" ht="24" customHeight="1">
      <x:c r="A853" s="34"/>
      <x:c r="B853" s="34"/>
      <x:c r="C853" s="34"/>
      <x:c r="D853" s="34"/>
      <x:c r="E853" s="34"/>
      <x:c r="F853" s="35"/>
    </x:row>
    <x:row r="854" ht="24" customHeight="1">
      <x:c r="A854" s="34"/>
      <x:c r="B854" s="34"/>
      <x:c r="C854" s="34"/>
      <x:c r="D854" s="34"/>
      <x:c r="E854" s="34"/>
      <x:c r="F854" s="35"/>
    </x:row>
    <x:row r="855" ht="24" customHeight="1">
      <x:c r="A855" s="34"/>
      <x:c r="B855" s="34"/>
      <x:c r="C855" s="34"/>
      <x:c r="D855" s="34"/>
      <x:c r="E855" s="34"/>
      <x:c r="F855" s="35"/>
    </x:row>
    <x:row r="856" ht="24" customHeight="1">
      <x:c r="A856" s="34"/>
      <x:c r="B856" s="34"/>
      <x:c r="C856" s="34"/>
      <x:c r="D856" s="34"/>
      <x:c r="E856" s="34"/>
      <x:c r="F856" s="35"/>
    </x:row>
    <x:row r="857" ht="24" customHeight="1">
      <x:c r="A857" s="34"/>
      <x:c r="B857" s="34"/>
      <x:c r="C857" s="34"/>
      <x:c r="D857" s="34"/>
      <x:c r="E857" s="34"/>
      <x:c r="F857" s="35"/>
    </x:row>
    <x:row r="858" ht="24" customHeight="1">
      <x:c r="A858" s="34"/>
      <x:c r="B858" s="34"/>
      <x:c r="C858" s="34"/>
      <x:c r="D858" s="34"/>
      <x:c r="E858" s="34"/>
      <x:c r="F858" s="35"/>
    </x:row>
    <x:row r="859" ht="24" customHeight="1">
      <x:c r="A859" s="34"/>
      <x:c r="B859" s="34"/>
      <x:c r="C859" s="34"/>
      <x:c r="D859" s="34"/>
      <x:c r="E859" s="34"/>
      <x:c r="F859" s="35"/>
    </x:row>
    <x:row r="860" ht="24" customHeight="1">
      <x:c r="A860" s="34"/>
      <x:c r="B860" s="34"/>
      <x:c r="C860" s="34"/>
      <x:c r="D860" s="34"/>
      <x:c r="E860" s="34"/>
      <x:c r="F860" s="35"/>
    </x:row>
    <x:row r="861" ht="24" customHeight="1">
      <x:c r="A861" s="34"/>
      <x:c r="B861" s="34"/>
      <x:c r="C861" s="34"/>
      <x:c r="D861" s="34"/>
      <x:c r="E861" s="34"/>
      <x:c r="F861" s="35"/>
    </x:row>
    <x:row r="862" ht="24" customHeight="1">
      <x:c r="A862" s="34"/>
      <x:c r="B862" s="34"/>
      <x:c r="C862" s="34"/>
      <x:c r="D862" s="34"/>
      <x:c r="E862" s="34"/>
      <x:c r="F862" s="35"/>
    </x:row>
    <x:row r="863" ht="24" customHeight="1">
      <x:c r="A863" s="34"/>
      <x:c r="B863" s="34"/>
      <x:c r="C863" s="34"/>
      <x:c r="D863" s="34"/>
      <x:c r="E863" s="34"/>
      <x:c r="F863" s="35"/>
    </x:row>
    <x:row r="864" ht="24" customHeight="1">
      <x:c r="A864" s="34"/>
      <x:c r="B864" s="34"/>
      <x:c r="C864" s="34"/>
      <x:c r="D864" s="34"/>
      <x:c r="E864" s="34"/>
      <x:c r="F864" s="35"/>
    </x:row>
    <x:row r="865" ht="24" customHeight="1">
      <x:c r="A865" s="34"/>
      <x:c r="B865" s="34"/>
      <x:c r="C865" s="34"/>
      <x:c r="D865" s="34"/>
      <x:c r="E865" s="34"/>
      <x:c r="F865" s="35"/>
    </x:row>
    <x:row r="866" ht="24" customHeight="1">
      <x:c r="A866" s="34"/>
      <x:c r="B866" s="34"/>
      <x:c r="C866" s="34"/>
      <x:c r="D866" s="34"/>
      <x:c r="E866" s="34"/>
      <x:c r="F866" s="35"/>
    </x:row>
    <x:row r="867" ht="24" customHeight="1">
      <x:c r="A867" s="34"/>
      <x:c r="B867" s="34"/>
      <x:c r="C867" s="34"/>
      <x:c r="D867" s="34"/>
      <x:c r="E867" s="34"/>
      <x:c r="F867" s="35"/>
    </x:row>
    <x:row r="868" ht="24" customHeight="1">
      <x:c r="A868" s="34"/>
      <x:c r="B868" s="34"/>
      <x:c r="C868" s="34"/>
      <x:c r="D868" s="34"/>
      <x:c r="E868" s="34"/>
      <x:c r="F868" s="35"/>
    </x:row>
    <x:row r="869" ht="24" customHeight="1">
      <x:c r="A869" s="34"/>
      <x:c r="B869" s="34"/>
      <x:c r="C869" s="34"/>
      <x:c r="D869" s="34"/>
      <x:c r="E869" s="34"/>
      <x:c r="F869" s="35"/>
    </x:row>
    <x:row r="870" ht="24" customHeight="1">
      <x:c r="A870" s="34"/>
      <x:c r="B870" s="34"/>
      <x:c r="C870" s="34"/>
      <x:c r="D870" s="34"/>
      <x:c r="E870" s="34"/>
      <x:c r="F870" s="35"/>
    </x:row>
    <x:row r="871" ht="24" customHeight="1">
      <x:c r="A871" s="34"/>
      <x:c r="B871" s="34"/>
      <x:c r="C871" s="34"/>
      <x:c r="D871" s="34"/>
      <x:c r="E871" s="34"/>
      <x:c r="F871" s="35"/>
    </x:row>
    <x:row r="872" ht="24" customHeight="1">
      <x:c r="A872" s="34"/>
      <x:c r="B872" s="34"/>
      <x:c r="C872" s="34"/>
      <x:c r="D872" s="34"/>
      <x:c r="E872" s="34"/>
      <x:c r="F872" s="35"/>
    </x:row>
    <x:row r="873" ht="24" customHeight="1">
      <x:c r="A873" s="34"/>
      <x:c r="B873" s="34"/>
      <x:c r="C873" s="34"/>
      <x:c r="D873" s="34"/>
      <x:c r="E873" s="34"/>
      <x:c r="F873" s="35"/>
    </x:row>
    <x:row r="874" ht="24" customHeight="1">
      <x:c r="A874" s="34"/>
      <x:c r="B874" s="34"/>
      <x:c r="C874" s="34"/>
      <x:c r="D874" s="34"/>
      <x:c r="E874" s="34"/>
      <x:c r="F874" s="35"/>
    </x:row>
    <x:row r="875" ht="24" customHeight="1">
      <x:c r="A875" s="34"/>
      <x:c r="B875" s="34"/>
      <x:c r="C875" s="34"/>
      <x:c r="D875" s="34"/>
      <x:c r="E875" s="34"/>
      <x:c r="F875" s="35"/>
    </x:row>
    <x:row r="876" ht="24" customHeight="1">
      <x:c r="A876" s="34"/>
      <x:c r="B876" s="34"/>
      <x:c r="C876" s="34"/>
      <x:c r="D876" s="34"/>
      <x:c r="E876" s="34"/>
      <x:c r="F876" s="35"/>
    </x:row>
    <x:row r="877" ht="24" customHeight="1">
      <x:c r="A877" s="34"/>
      <x:c r="B877" s="34"/>
      <x:c r="C877" s="34"/>
      <x:c r="D877" s="34"/>
      <x:c r="E877" s="34"/>
      <x:c r="F877" s="35"/>
    </x:row>
    <x:row r="878" ht="24" customHeight="1">
      <x:c r="A878" s="34"/>
      <x:c r="B878" s="34"/>
      <x:c r="C878" s="34"/>
      <x:c r="D878" s="34"/>
      <x:c r="E878" s="34"/>
      <x:c r="F878" s="35"/>
    </x:row>
    <x:row r="879" ht="24" customHeight="1">
      <x:c r="A879" s="34"/>
      <x:c r="B879" s="34"/>
      <x:c r="C879" s="34"/>
      <x:c r="D879" s="34"/>
      <x:c r="E879" s="34"/>
      <x:c r="F879" s="35"/>
    </x:row>
    <x:row r="880" ht="24" customHeight="1">
      <x:c r="A880" s="34"/>
      <x:c r="B880" s="34"/>
      <x:c r="C880" s="34"/>
      <x:c r="D880" s="34"/>
      <x:c r="E880" s="34"/>
      <x:c r="F880" s="35"/>
    </x:row>
    <x:row r="881" ht="24" customHeight="1">
      <x:c r="A881" s="34"/>
      <x:c r="B881" s="34"/>
      <x:c r="C881" s="34"/>
      <x:c r="D881" s="34"/>
      <x:c r="E881" s="34"/>
      <x:c r="F881" s="35"/>
    </x:row>
    <x:row r="882" ht="24" customHeight="1">
      <x:c r="A882" s="34"/>
      <x:c r="B882" s="34"/>
      <x:c r="C882" s="34"/>
      <x:c r="D882" s="34"/>
      <x:c r="E882" s="34"/>
      <x:c r="F882" s="35"/>
    </x:row>
    <x:row r="883" ht="24" customHeight="1">
      <x:c r="A883" s="34"/>
      <x:c r="B883" s="34"/>
      <x:c r="C883" s="34"/>
      <x:c r="D883" s="34"/>
      <x:c r="E883" s="34"/>
      <x:c r="F883" s="35"/>
    </x:row>
    <x:row r="884" ht="24" customHeight="1">
      <x:c r="A884" s="34"/>
      <x:c r="B884" s="34"/>
      <x:c r="C884" s="34"/>
      <x:c r="D884" s="34"/>
      <x:c r="E884" s="34"/>
      <x:c r="F884" s="35"/>
    </x:row>
    <x:row r="885" ht="24" customHeight="1">
      <x:c r="A885" s="34"/>
      <x:c r="B885" s="34"/>
      <x:c r="C885" s="34"/>
      <x:c r="D885" s="34"/>
      <x:c r="E885" s="34"/>
      <x:c r="F885" s="35"/>
    </x:row>
    <x:row r="886" ht="24" customHeight="1">
      <x:c r="A886" s="34"/>
      <x:c r="B886" s="34"/>
      <x:c r="C886" s="34"/>
      <x:c r="D886" s="34"/>
      <x:c r="E886" s="34"/>
      <x:c r="F886" s="35"/>
    </x:row>
    <x:row r="887" ht="24" customHeight="1">
      <x:c r="A887" s="34"/>
      <x:c r="B887" s="34"/>
      <x:c r="C887" s="34"/>
      <x:c r="D887" s="34"/>
      <x:c r="E887" s="34"/>
      <x:c r="F887" s="35"/>
    </x:row>
    <x:row r="888" ht="24" customHeight="1">
      <x:c r="A888" s="34"/>
      <x:c r="B888" s="34"/>
      <x:c r="C888" s="34"/>
      <x:c r="D888" s="34"/>
      <x:c r="E888" s="34"/>
      <x:c r="F888" s="35"/>
    </x:row>
    <x:row r="889" ht="24" customHeight="1">
      <x:c r="A889" s="34"/>
      <x:c r="B889" s="34"/>
      <x:c r="C889" s="34"/>
      <x:c r="D889" s="34"/>
      <x:c r="E889" s="34"/>
      <x:c r="F889" s="35"/>
    </x:row>
    <x:row r="890" ht="24" customHeight="1">
      <x:c r="A890" s="34"/>
      <x:c r="B890" s="34"/>
      <x:c r="C890" s="34"/>
      <x:c r="D890" s="34"/>
      <x:c r="E890" s="34"/>
      <x:c r="F890" s="35"/>
    </x:row>
    <x:row r="891" ht="24" customHeight="1">
      <x:c r="A891" s="34"/>
      <x:c r="B891" s="34"/>
      <x:c r="C891" s="34"/>
      <x:c r="D891" s="34"/>
      <x:c r="E891" s="34"/>
      <x:c r="F891" s="35"/>
    </x:row>
    <x:row r="892" ht="24" customHeight="1">
      <x:c r="A892" s="34"/>
      <x:c r="B892" s="34"/>
      <x:c r="C892" s="34"/>
      <x:c r="D892" s="34"/>
      <x:c r="E892" s="34"/>
      <x:c r="F892" s="35"/>
    </x:row>
    <x:row r="893" ht="24" customHeight="1">
      <x:c r="A893" s="34"/>
      <x:c r="B893" s="34"/>
      <x:c r="C893" s="34"/>
      <x:c r="D893" s="34"/>
      <x:c r="E893" s="34"/>
      <x:c r="F893" s="35"/>
    </x:row>
    <x:row r="894" ht="24" customHeight="1">
      <x:c r="A894" s="34"/>
      <x:c r="B894" s="34"/>
      <x:c r="C894" s="34"/>
      <x:c r="D894" s="34"/>
      <x:c r="E894" s="34"/>
      <x:c r="F894" s="35"/>
    </x:row>
    <x:row r="895" ht="24" customHeight="1">
      <x:c r="A895" s="34"/>
      <x:c r="B895" s="34"/>
      <x:c r="C895" s="34"/>
      <x:c r="D895" s="34"/>
      <x:c r="E895" s="34"/>
      <x:c r="F895" s="35"/>
    </x:row>
    <x:row r="896" ht="24" customHeight="1">
      <x:c r="A896" s="34"/>
      <x:c r="B896" s="34"/>
      <x:c r="C896" s="34"/>
      <x:c r="D896" s="34"/>
      <x:c r="E896" s="34"/>
      <x:c r="F896" s="35"/>
    </x:row>
    <x:row r="897" ht="24" customHeight="1">
      <x:c r="A897" s="34"/>
      <x:c r="B897" s="34"/>
      <x:c r="C897" s="34"/>
      <x:c r="D897" s="34"/>
      <x:c r="E897" s="34"/>
      <x:c r="F897" s="35"/>
    </x:row>
    <x:row r="898" ht="24" customHeight="1">
      <x:c r="A898" s="34"/>
      <x:c r="B898" s="34"/>
      <x:c r="C898" s="34"/>
      <x:c r="D898" s="34"/>
      <x:c r="E898" s="34"/>
      <x:c r="F898" s="35"/>
    </x:row>
    <x:row r="899" ht="24" customHeight="1">
      <x:c r="A899" s="34"/>
      <x:c r="B899" s="34"/>
      <x:c r="C899" s="34"/>
      <x:c r="D899" s="34"/>
      <x:c r="E899" s="34"/>
      <x:c r="F899" s="35"/>
    </x:row>
    <x:row r="900" ht="24" customHeight="1">
      <x:c r="A900" s="34"/>
      <x:c r="B900" s="34"/>
      <x:c r="C900" s="34"/>
      <x:c r="D900" s="34"/>
      <x:c r="E900" s="34"/>
      <x:c r="F900" s="35"/>
    </x:row>
    <x:row r="901" ht="24" customHeight="1">
      <x:c r="A901" s="34"/>
      <x:c r="B901" s="34"/>
      <x:c r="C901" s="34"/>
      <x:c r="D901" s="34"/>
      <x:c r="E901" s="34"/>
      <x:c r="F901" s="35"/>
    </x:row>
    <x:row r="902" ht="24" customHeight="1">
      <x:c r="A902" s="34"/>
      <x:c r="B902" s="34"/>
      <x:c r="C902" s="34"/>
      <x:c r="D902" s="34"/>
      <x:c r="E902" s="34"/>
      <x:c r="F902" s="35"/>
    </x:row>
    <x:row r="903" ht="24" customHeight="1">
      <x:c r="A903" s="34"/>
      <x:c r="B903" s="34"/>
      <x:c r="C903" s="34"/>
      <x:c r="D903" s="34"/>
      <x:c r="E903" s="34"/>
      <x:c r="F903" s="35"/>
    </x:row>
    <x:row r="904" ht="24" customHeight="1">
      <x:c r="A904" s="34"/>
      <x:c r="B904" s="34"/>
      <x:c r="C904" s="34"/>
      <x:c r="D904" s="34"/>
      <x:c r="E904" s="34"/>
      <x:c r="F904" s="35"/>
    </x:row>
    <x:row r="905" ht="24" customHeight="1">
      <x:c r="A905" s="34"/>
      <x:c r="B905" s="34"/>
      <x:c r="C905" s="34"/>
      <x:c r="D905" s="34"/>
      <x:c r="E905" s="34"/>
      <x:c r="F905" s="35"/>
    </x:row>
    <x:row r="906" ht="24" customHeight="1">
      <x:c r="A906" s="34"/>
      <x:c r="B906" s="34"/>
      <x:c r="C906" s="34"/>
      <x:c r="D906" s="34"/>
      <x:c r="E906" s="34"/>
      <x:c r="F906" s="35"/>
    </x:row>
    <x:row r="907" ht="24" customHeight="1">
      <x:c r="A907" s="34"/>
      <x:c r="B907" s="34"/>
      <x:c r="C907" s="34"/>
      <x:c r="D907" s="34"/>
      <x:c r="E907" s="34"/>
      <x:c r="F907" s="35"/>
    </x:row>
    <x:row r="908" ht="24" customHeight="1">
      <x:c r="A908" s="34"/>
      <x:c r="B908" s="34"/>
      <x:c r="C908" s="34"/>
      <x:c r="D908" s="34"/>
      <x:c r="E908" s="34"/>
      <x:c r="F908" s="35"/>
    </x:row>
    <x:row r="909" ht="24" customHeight="1">
      <x:c r="A909" s="34"/>
      <x:c r="B909" s="34"/>
      <x:c r="C909" s="34"/>
      <x:c r="D909" s="34"/>
      <x:c r="E909" s="34"/>
      <x:c r="F909" s="35"/>
    </x:row>
    <x:row r="910" ht="24" customHeight="1">
      <x:c r="A910" s="34"/>
      <x:c r="B910" s="34"/>
      <x:c r="C910" s="34"/>
      <x:c r="D910" s="34"/>
      <x:c r="E910" s="34"/>
      <x:c r="F910" s="35"/>
    </x:row>
    <x:row r="911" ht="24" customHeight="1">
      <x:c r="A911" s="34"/>
      <x:c r="B911" s="34"/>
      <x:c r="C911" s="34"/>
      <x:c r="D911" s="34"/>
      <x:c r="E911" s="34"/>
      <x:c r="F911" s="35"/>
    </x:row>
    <x:row r="912" ht="24" customHeight="1">
      <x:c r="A912" s="34"/>
      <x:c r="B912" s="34"/>
      <x:c r="C912" s="34"/>
      <x:c r="D912" s="34"/>
      <x:c r="E912" s="34"/>
      <x:c r="F912" s="35"/>
    </x:row>
    <x:row r="913" ht="24" customHeight="1">
      <x:c r="A913" s="34"/>
      <x:c r="B913" s="34"/>
      <x:c r="C913" s="34"/>
      <x:c r="D913" s="34"/>
      <x:c r="E913" s="34"/>
      <x:c r="F913" s="35"/>
    </x:row>
    <x:row r="914" ht="24" customHeight="1">
      <x:c r="A914" s="34"/>
      <x:c r="B914" s="34"/>
      <x:c r="C914" s="34"/>
      <x:c r="D914" s="34"/>
      <x:c r="E914" s="34"/>
      <x:c r="F914" s="35"/>
    </x:row>
    <x:row r="915" ht="24" customHeight="1">
      <x:c r="A915" s="34"/>
      <x:c r="B915" s="34"/>
      <x:c r="C915" s="34"/>
      <x:c r="D915" s="34"/>
      <x:c r="E915" s="34"/>
      <x:c r="F915" s="35"/>
    </x:row>
    <x:row r="916" ht="24" customHeight="1">
      <x:c r="A916" s="34"/>
      <x:c r="B916" s="34"/>
      <x:c r="C916" s="34"/>
      <x:c r="D916" s="34"/>
      <x:c r="E916" s="34"/>
      <x:c r="F916" s="35"/>
    </x:row>
    <x:row r="917" ht="24" customHeight="1">
      <x:c r="A917" s="34"/>
      <x:c r="B917" s="34"/>
      <x:c r="C917" s="34"/>
      <x:c r="D917" s="34"/>
      <x:c r="E917" s="34"/>
      <x:c r="F917" s="35"/>
    </x:row>
    <x:row r="918" ht="24" customHeight="1">
      <x:c r="A918" s="34"/>
      <x:c r="B918" s="34"/>
      <x:c r="C918" s="34"/>
      <x:c r="D918" s="34"/>
      <x:c r="E918" s="34"/>
      <x:c r="F918" s="35"/>
    </x:row>
    <x:row r="919" ht="24" customHeight="1">
      <x:c r="A919" s="34"/>
      <x:c r="B919" s="34"/>
      <x:c r="C919" s="34"/>
      <x:c r="D919" s="34"/>
      <x:c r="E919" s="34"/>
      <x:c r="F919" s="35"/>
    </x:row>
    <x:row r="920" ht="24" customHeight="1">
      <x:c r="A920" s="34"/>
      <x:c r="B920" s="34"/>
      <x:c r="C920" s="34"/>
      <x:c r="D920" s="34"/>
      <x:c r="E920" s="34"/>
      <x:c r="F920" s="35"/>
    </x:row>
    <x:row r="921" ht="24" customHeight="1">
      <x:c r="A921" s="34"/>
      <x:c r="B921" s="34"/>
      <x:c r="C921" s="34"/>
      <x:c r="D921" s="34"/>
      <x:c r="E921" s="34"/>
      <x:c r="F921" s="35"/>
    </x:row>
    <x:row r="922" ht="24" customHeight="1">
      <x:c r="A922" s="34"/>
      <x:c r="B922" s="34"/>
      <x:c r="C922" s="34"/>
      <x:c r="D922" s="34"/>
      <x:c r="E922" s="34"/>
      <x:c r="F922" s="35"/>
    </x:row>
    <x:row r="923" ht="24" customHeight="1">
      <x:c r="A923" s="34"/>
      <x:c r="B923" s="34"/>
      <x:c r="C923" s="34"/>
      <x:c r="D923" s="34"/>
      <x:c r="E923" s="34"/>
      <x:c r="F923" s="35"/>
    </x:row>
    <x:row r="924" ht="24" customHeight="1">
      <x:c r="A924" s="34"/>
      <x:c r="B924" s="34"/>
      <x:c r="C924" s="34"/>
      <x:c r="D924" s="34"/>
      <x:c r="E924" s="34"/>
      <x:c r="F924" s="35"/>
    </x:row>
    <x:row r="925" ht="24" customHeight="1">
      <x:c r="A925" s="34"/>
      <x:c r="B925" s="34"/>
      <x:c r="C925" s="34"/>
      <x:c r="D925" s="34"/>
      <x:c r="E925" s="34"/>
      <x:c r="F925" s="35"/>
    </x:row>
    <x:row r="926" ht="24" customHeight="1">
      <x:c r="A926" s="34"/>
      <x:c r="B926" s="34"/>
      <x:c r="C926" s="34"/>
      <x:c r="D926" s="34"/>
      <x:c r="E926" s="34"/>
      <x:c r="F926" s="35"/>
    </x:row>
    <x:row r="927" ht="24" customHeight="1">
      <x:c r="A927" s="34"/>
      <x:c r="B927" s="34"/>
      <x:c r="C927" s="34"/>
      <x:c r="D927" s="34"/>
      <x:c r="E927" s="34"/>
      <x:c r="F927" s="35"/>
    </x:row>
    <x:row r="928" ht="24" customHeight="1">
      <x:c r="A928" s="34"/>
      <x:c r="B928" s="34"/>
      <x:c r="C928" s="34"/>
      <x:c r="D928" s="34"/>
      <x:c r="E928" s="34"/>
      <x:c r="F928" s="35"/>
    </x:row>
    <x:row r="929" ht="24" customHeight="1">
      <x:c r="A929" s="34"/>
      <x:c r="B929" s="34"/>
      <x:c r="C929" s="34"/>
      <x:c r="D929" s="34"/>
      <x:c r="E929" s="34"/>
      <x:c r="F929" s="35"/>
    </x:row>
    <x:row r="930" ht="24" customHeight="1">
      <x:c r="A930" s="34"/>
      <x:c r="B930" s="34"/>
      <x:c r="C930" s="34"/>
      <x:c r="D930" s="34"/>
      <x:c r="E930" s="34"/>
      <x:c r="F930" s="35"/>
    </x:row>
    <x:row r="931" ht="24" customHeight="1">
      <x:c r="A931" s="34"/>
      <x:c r="B931" s="34"/>
      <x:c r="C931" s="34"/>
      <x:c r="D931" s="34"/>
      <x:c r="E931" s="34"/>
      <x:c r="F931" s="35"/>
    </x:row>
    <x:row r="932" ht="24" customHeight="1">
      <x:c r="A932" s="34"/>
      <x:c r="B932" s="34"/>
      <x:c r="C932" s="34"/>
      <x:c r="D932" s="34"/>
      <x:c r="E932" s="34"/>
      <x:c r="F932" s="35"/>
    </x:row>
    <x:row r="933" ht="24" customHeight="1">
      <x:c r="A933" s="34"/>
      <x:c r="B933" s="34"/>
      <x:c r="C933" s="34"/>
      <x:c r="D933" s="34"/>
      <x:c r="E933" s="34"/>
      <x:c r="F933" s="35"/>
    </x:row>
    <x:row r="934" ht="24" customHeight="1">
      <x:c r="A934" s="34"/>
      <x:c r="B934" s="34"/>
      <x:c r="C934" s="34"/>
      <x:c r="D934" s="34"/>
      <x:c r="E934" s="34"/>
      <x:c r="F934" s="35"/>
    </x:row>
    <x:row r="935" ht="24" customHeight="1">
      <x:c r="A935" s="34"/>
      <x:c r="B935" s="34"/>
      <x:c r="C935" s="34"/>
      <x:c r="D935" s="34"/>
      <x:c r="E935" s="34"/>
      <x:c r="F935" s="35"/>
    </x:row>
    <x:row r="936" ht="24" customHeight="1">
      <x:c r="A936" s="34"/>
      <x:c r="B936" s="34"/>
      <x:c r="C936" s="34"/>
      <x:c r="D936" s="34"/>
      <x:c r="E936" s="34"/>
      <x:c r="F936" s="35"/>
    </x:row>
    <x:row r="937" ht="24" customHeight="1">
      <x:c r="A937" s="34"/>
      <x:c r="B937" s="34"/>
      <x:c r="C937" s="34"/>
      <x:c r="D937" s="34"/>
      <x:c r="E937" s="34"/>
      <x:c r="F937" s="35"/>
    </x:row>
    <x:row r="938" ht="24" customHeight="1">
      <x:c r="A938" s="34"/>
      <x:c r="B938" s="34"/>
      <x:c r="C938" s="34"/>
      <x:c r="D938" s="34"/>
      <x:c r="E938" s="34"/>
      <x:c r="F938" s="35"/>
    </x:row>
    <x:row r="939" ht="24" customHeight="1">
      <x:c r="A939" s="34"/>
      <x:c r="B939" s="34"/>
      <x:c r="C939" s="34"/>
      <x:c r="D939" s="34"/>
      <x:c r="E939" s="34"/>
      <x:c r="F939" s="35"/>
    </x:row>
    <x:row r="940" ht="24" customHeight="1">
      <x:c r="A940" s="34"/>
      <x:c r="B940" s="34"/>
      <x:c r="C940" s="34"/>
      <x:c r="D940" s="34"/>
      <x:c r="E940" s="34"/>
      <x:c r="F940" s="35"/>
    </x:row>
    <x:row r="941" ht="24" customHeight="1">
      <x:c r="A941" s="34"/>
      <x:c r="B941" s="34"/>
      <x:c r="C941" s="34"/>
      <x:c r="D941" s="34"/>
      <x:c r="E941" s="34"/>
      <x:c r="F941" s="35"/>
    </x:row>
    <x:row r="942" ht="24" customHeight="1">
      <x:c r="A942" s="34"/>
      <x:c r="B942" s="34"/>
      <x:c r="C942" s="34"/>
      <x:c r="D942" s="34"/>
      <x:c r="E942" s="34"/>
      <x:c r="F942" s="35"/>
    </x:row>
    <x:row r="943" ht="24" customHeight="1">
      <x:c r="A943" s="34"/>
      <x:c r="B943" s="34"/>
      <x:c r="C943" s="34"/>
      <x:c r="D943" s="34"/>
      <x:c r="E943" s="34"/>
      <x:c r="F943" s="35"/>
    </x:row>
    <x:row r="944" ht="24" customHeight="1">
      <x:c r="A944" s="34"/>
      <x:c r="B944" s="34"/>
      <x:c r="C944" s="34"/>
      <x:c r="D944" s="34"/>
      <x:c r="E944" s="34"/>
      <x:c r="F944" s="35"/>
    </x:row>
    <x:row r="945" ht="24" customHeight="1">
      <x:c r="A945" s="34"/>
      <x:c r="B945" s="34"/>
      <x:c r="C945" s="34"/>
      <x:c r="D945" s="34"/>
      <x:c r="E945" s="34"/>
      <x:c r="F945" s="35"/>
    </x:row>
    <x:row r="946" ht="24" customHeight="1">
      <x:c r="A946" s="34"/>
      <x:c r="B946" s="34"/>
      <x:c r="C946" s="34"/>
      <x:c r="D946" s="34"/>
      <x:c r="E946" s="34"/>
      <x:c r="F946" s="35"/>
    </x:row>
    <x:row r="947" ht="24" customHeight="1">
      <x:c r="A947" s="34"/>
      <x:c r="B947" s="34"/>
      <x:c r="C947" s="34"/>
      <x:c r="D947" s="34"/>
      <x:c r="E947" s="34"/>
      <x:c r="F947" s="35"/>
    </x:row>
    <x:row r="948" ht="24" customHeight="1">
      <x:c r="A948" s="34"/>
      <x:c r="B948" s="34"/>
      <x:c r="C948" s="34"/>
      <x:c r="D948" s="34"/>
      <x:c r="E948" s="34"/>
      <x:c r="F948" s="35"/>
    </x:row>
    <x:row r="949" ht="24" customHeight="1">
      <x:c r="A949" s="34"/>
      <x:c r="B949" s="34"/>
      <x:c r="C949" s="34"/>
      <x:c r="D949" s="34"/>
      <x:c r="E949" s="34"/>
      <x:c r="F949" s="35"/>
    </x:row>
    <x:row r="950" ht="24" customHeight="1">
      <x:c r="A950" s="34"/>
      <x:c r="B950" s="34"/>
      <x:c r="C950" s="34"/>
      <x:c r="D950" s="34"/>
      <x:c r="E950" s="34"/>
      <x:c r="F950" s="35"/>
    </x:row>
    <x:row r="951" ht="24" customHeight="1">
      <x:c r="A951" s="34"/>
      <x:c r="B951" s="34"/>
      <x:c r="C951" s="34"/>
      <x:c r="D951" s="34"/>
      <x:c r="E951" s="34"/>
      <x:c r="F951" s="35"/>
    </x:row>
    <x:row r="952" ht="24" customHeight="1">
      <x:c r="A952" s="34"/>
      <x:c r="B952" s="34"/>
      <x:c r="C952" s="34"/>
      <x:c r="D952" s="34"/>
      <x:c r="E952" s="34"/>
      <x:c r="F952" s="35"/>
    </x:row>
    <x:row r="953" ht="24" customHeight="1">
      <x:c r="A953" s="34"/>
      <x:c r="B953" s="34"/>
      <x:c r="C953" s="34"/>
      <x:c r="D953" s="34"/>
      <x:c r="E953" s="34"/>
      <x:c r="F953" s="35"/>
    </x:row>
    <x:row r="954" ht="24" customHeight="1">
      <x:c r="A954" s="34"/>
      <x:c r="B954" s="34"/>
      <x:c r="C954" s="34"/>
      <x:c r="D954" s="34"/>
      <x:c r="E954" s="34"/>
      <x:c r="F954" s="35"/>
    </x:row>
    <x:row r="955" ht="24" customHeight="1">
      <x:c r="A955" s="34"/>
      <x:c r="B955" s="34"/>
      <x:c r="C955" s="34"/>
      <x:c r="D955" s="34"/>
      <x:c r="E955" s="34"/>
      <x:c r="F955" s="35"/>
    </x:row>
    <x:row r="956" ht="24" customHeight="1">
      <x:c r="A956" s="34"/>
      <x:c r="B956" s="34"/>
      <x:c r="C956" s="34"/>
      <x:c r="D956" s="34"/>
      <x:c r="E956" s="34"/>
      <x:c r="F956" s="35"/>
    </x:row>
    <x:row r="957" ht="24" customHeight="1">
      <x:c r="A957" s="34"/>
      <x:c r="B957" s="34"/>
      <x:c r="C957" s="34"/>
      <x:c r="D957" s="34"/>
      <x:c r="E957" s="34"/>
      <x:c r="F957" s="35"/>
    </x:row>
    <x:row r="958" ht="24" customHeight="1">
      <x:c r="A958" s="34"/>
      <x:c r="B958" s="34"/>
      <x:c r="C958" s="34"/>
      <x:c r="D958" s="34"/>
      <x:c r="E958" s="34"/>
      <x:c r="F958" s="35"/>
    </x:row>
    <x:row r="959" ht="24" customHeight="1">
      <x:c r="A959" s="34"/>
      <x:c r="B959" s="34"/>
      <x:c r="C959" s="34"/>
      <x:c r="D959" s="34"/>
      <x:c r="E959" s="34"/>
      <x:c r="F959" s="35"/>
    </x:row>
    <x:row r="960" ht="24" customHeight="1">
      <x:c r="A960" s="34"/>
      <x:c r="B960" s="34"/>
      <x:c r="C960" s="34"/>
      <x:c r="D960" s="34"/>
      <x:c r="E960" s="34"/>
      <x:c r="F960" s="35"/>
    </x:row>
    <x:row r="961" ht="24" customHeight="1">
      <x:c r="A961" s="34"/>
      <x:c r="B961" s="34"/>
      <x:c r="C961" s="34"/>
      <x:c r="D961" s="34"/>
      <x:c r="E961" s="34"/>
      <x:c r="F961" s="35"/>
    </x:row>
    <x:row r="962" ht="24" customHeight="1">
      <x:c r="A962" s="34"/>
      <x:c r="B962" s="34"/>
      <x:c r="C962" s="34"/>
      <x:c r="D962" s="34"/>
      <x:c r="E962" s="34"/>
      <x:c r="F962" s="35"/>
    </x:row>
    <x:row r="963" ht="24" customHeight="1">
      <x:c r="A963" s="34"/>
      <x:c r="B963" s="34"/>
      <x:c r="C963" s="34"/>
      <x:c r="D963" s="34"/>
      <x:c r="E963" s="34"/>
      <x:c r="F963" s="35"/>
    </x:row>
    <x:row r="964" ht="24" customHeight="1">
      <x:c r="A964" s="34"/>
      <x:c r="B964" s="34"/>
      <x:c r="C964" s="34"/>
      <x:c r="D964" s="34"/>
      <x:c r="E964" s="34"/>
      <x:c r="F964" s="35"/>
    </x:row>
    <x:row r="965" ht="24" customHeight="1">
      <x:c r="A965" s="34"/>
      <x:c r="B965" s="34"/>
      <x:c r="C965" s="34"/>
      <x:c r="D965" s="34"/>
      <x:c r="E965" s="34"/>
      <x:c r="F965" s="35"/>
    </x:row>
    <x:row r="966" ht="24" customHeight="1">
      <x:c r="A966" s="34"/>
      <x:c r="B966" s="34"/>
      <x:c r="C966" s="34"/>
      <x:c r="D966" s="34"/>
      <x:c r="E966" s="34"/>
      <x:c r="F966" s="35"/>
    </x:row>
    <x:row r="967" ht="24" customHeight="1">
      <x:c r="A967" s="34"/>
      <x:c r="B967" s="34"/>
      <x:c r="C967" s="34"/>
      <x:c r="D967" s="34"/>
      <x:c r="E967" s="34"/>
      <x:c r="F967" s="35"/>
    </x:row>
    <x:row r="968" ht="24" customHeight="1">
      <x:c r="A968" s="34"/>
      <x:c r="B968" s="34"/>
      <x:c r="C968" s="34"/>
      <x:c r="D968" s="34"/>
      <x:c r="E968" s="34"/>
      <x:c r="F968" s="35"/>
    </x:row>
    <x:row r="969" ht="24" customHeight="1">
      <x:c r="A969" s="34"/>
      <x:c r="B969" s="34"/>
      <x:c r="C969" s="34"/>
      <x:c r="D969" s="34"/>
      <x:c r="E969" s="34"/>
      <x:c r="F969" s="35"/>
    </x:row>
    <x:row r="970" ht="24" customHeight="1">
      <x:c r="A970" s="34"/>
      <x:c r="B970" s="34"/>
      <x:c r="C970" s="34"/>
      <x:c r="D970" s="34"/>
      <x:c r="E970" s="34"/>
      <x:c r="F970" s="35"/>
    </x:row>
    <x:row r="971" ht="24" customHeight="1">
      <x:c r="A971" s="34"/>
      <x:c r="B971" s="34"/>
      <x:c r="C971" s="34"/>
      <x:c r="D971" s="34"/>
      <x:c r="E971" s="34"/>
      <x:c r="F971" s="35"/>
    </x:row>
    <x:row r="972" ht="24" customHeight="1">
      <x:c r="A972" s="34"/>
      <x:c r="B972" s="34"/>
      <x:c r="C972" s="34"/>
      <x:c r="D972" s="34"/>
      <x:c r="E972" s="34"/>
      <x:c r="F972" s="35"/>
    </x:row>
    <x:row r="973" ht="24" customHeight="1">
      <x:c r="A973" s="34"/>
      <x:c r="B973" s="34"/>
      <x:c r="C973" s="34"/>
      <x:c r="D973" s="34"/>
      <x:c r="E973" s="34"/>
      <x:c r="F973" s="35"/>
    </x:row>
    <x:row r="974" ht="24" customHeight="1">
      <x:c r="A974" s="34"/>
      <x:c r="B974" s="34"/>
      <x:c r="C974" s="34"/>
      <x:c r="D974" s="34"/>
      <x:c r="E974" s="34"/>
      <x:c r="F974" s="35"/>
    </x:row>
    <x:row r="975" ht="24" customHeight="1">
      <x:c r="A975" s="34"/>
      <x:c r="B975" s="34"/>
      <x:c r="C975" s="34"/>
      <x:c r="D975" s="34"/>
      <x:c r="E975" s="34"/>
      <x:c r="F975" s="35"/>
    </x:row>
    <x:row r="976" ht="24" customHeight="1">
      <x:c r="A976" s="34"/>
      <x:c r="B976" s="34"/>
      <x:c r="C976" s="34"/>
      <x:c r="D976" s="34"/>
      <x:c r="E976" s="34"/>
      <x:c r="F976" s="35"/>
    </x:row>
    <x:row r="977" ht="24" customHeight="1">
      <x:c r="A977" s="34"/>
      <x:c r="B977" s="34"/>
      <x:c r="C977" s="34"/>
      <x:c r="D977" s="34"/>
      <x:c r="E977" s="34"/>
      <x:c r="F977" s="35"/>
    </x:row>
    <x:row r="978" ht="24" customHeight="1">
      <x:c r="A978" s="34"/>
      <x:c r="B978" s="34"/>
      <x:c r="C978" s="34"/>
      <x:c r="D978" s="34"/>
      <x:c r="E978" s="34"/>
      <x:c r="F978" s="35"/>
    </x:row>
    <x:row r="979" ht="24" customHeight="1">
      <x:c r="A979" s="34"/>
      <x:c r="B979" s="34"/>
      <x:c r="C979" s="34"/>
      <x:c r="D979" s="34"/>
      <x:c r="E979" s="34"/>
      <x:c r="F979" s="35"/>
    </x:row>
    <x:row r="980" ht="24" customHeight="1">
      <x:c r="A980" s="34"/>
      <x:c r="B980" s="34"/>
      <x:c r="C980" s="34"/>
      <x:c r="D980" s="34"/>
      <x:c r="E980" s="34"/>
      <x:c r="F980" s="35"/>
    </x:row>
    <x:row r="981" ht="24" customHeight="1">
      <x:c r="A981" s="34"/>
      <x:c r="B981" s="34"/>
      <x:c r="C981" s="34"/>
      <x:c r="D981" s="34"/>
      <x:c r="E981" s="34"/>
      <x:c r="F981" s="35"/>
    </x:row>
    <x:row r="982" ht="24" customHeight="1">
      <x:c r="A982" s="34"/>
      <x:c r="B982" s="34"/>
      <x:c r="C982" s="34"/>
      <x:c r="D982" s="34"/>
      <x:c r="E982" s="34"/>
      <x:c r="F982" s="35"/>
    </x:row>
    <x:row r="983" ht="24" customHeight="1">
      <x:c r="A983" s="34"/>
      <x:c r="B983" s="34"/>
      <x:c r="C983" s="34"/>
      <x:c r="D983" s="34"/>
      <x:c r="E983" s="34"/>
      <x:c r="F983" s="35"/>
    </x:row>
    <x:row r="984" ht="24" customHeight="1">
      <x:c r="A984" s="34"/>
      <x:c r="B984" s="34"/>
      <x:c r="C984" s="34"/>
      <x:c r="D984" s="34"/>
      <x:c r="E984" s="34"/>
      <x:c r="F984" s="35"/>
    </x:row>
    <x:row r="985" ht="24" customHeight="1">
      <x:c r="A985" s="34"/>
      <x:c r="B985" s="34"/>
      <x:c r="C985" s="34"/>
      <x:c r="D985" s="34"/>
      <x:c r="E985" s="34"/>
      <x:c r="F985" s="35"/>
    </x:row>
    <x:row r="986" ht="24" customHeight="1">
      <x:c r="A986" s="34"/>
      <x:c r="B986" s="34"/>
      <x:c r="C986" s="34"/>
      <x:c r="D986" s="34"/>
      <x:c r="E986" s="34"/>
      <x:c r="F986" s="35"/>
    </x:row>
    <x:row r="987" ht="24" customHeight="1">
      <x:c r="A987" s="34"/>
      <x:c r="B987" s="34"/>
      <x:c r="C987" s="34"/>
      <x:c r="D987" s="34"/>
      <x:c r="E987" s="34"/>
      <x:c r="F987" s="35"/>
    </x:row>
    <x:row r="988" ht="24" customHeight="1">
      <x:c r="A988" s="34"/>
      <x:c r="B988" s="34"/>
      <x:c r="C988" s="34"/>
      <x:c r="D988" s="34"/>
      <x:c r="E988" s="34"/>
      <x:c r="F988" s="35"/>
    </x:row>
    <x:row r="989" ht="24" customHeight="1">
      <x:c r="A989" s="34"/>
      <x:c r="B989" s="34"/>
      <x:c r="C989" s="34"/>
      <x:c r="D989" s="34"/>
      <x:c r="E989" s="34"/>
      <x:c r="F989" s="35"/>
    </x:row>
    <x:row r="990" ht="24" customHeight="1">
      <x:c r="A990" s="34"/>
      <x:c r="B990" s="34"/>
      <x:c r="C990" s="34"/>
      <x:c r="D990" s="34"/>
      <x:c r="E990" s="34"/>
      <x:c r="F990" s="35"/>
    </x:row>
    <x:row r="991" ht="24" customHeight="1">
      <x:c r="A991" s="34"/>
      <x:c r="B991" s="34"/>
      <x:c r="C991" s="34"/>
      <x:c r="D991" s="34"/>
      <x:c r="E991" s="34"/>
      <x:c r="F991" s="35"/>
    </x:row>
    <x:row r="992" ht="24" customHeight="1">
      <x:c r="A992" s="34"/>
      <x:c r="B992" s="34"/>
      <x:c r="C992" s="34"/>
      <x:c r="D992" s="34"/>
      <x:c r="E992" s="34"/>
      <x:c r="F992" s="35"/>
    </x:row>
    <x:row r="993" ht="24" customHeight="1">
      <x:c r="A993" s="34"/>
      <x:c r="B993" s="34"/>
      <x:c r="C993" s="34"/>
      <x:c r="D993" s="34"/>
      <x:c r="E993" s="34"/>
      <x:c r="F993" s="35"/>
    </x:row>
    <x:row r="994" ht="24" customHeight="1">
      <x:c r="A994" s="34"/>
      <x:c r="B994" s="34"/>
      <x:c r="C994" s="34"/>
      <x:c r="D994" s="34"/>
      <x:c r="E994" s="34"/>
      <x:c r="F994" s="35"/>
    </x:row>
    <x:row r="995" ht="24" customHeight="1">
      <x:c r="A995" s="34"/>
      <x:c r="B995" s="34"/>
      <x:c r="C995" s="34"/>
      <x:c r="D995" s="34"/>
      <x:c r="E995" s="34"/>
      <x:c r="F995" s="35"/>
    </x:row>
    <x:row r="996" ht="24" customHeight="1">
      <x:c r="A996" s="34"/>
      <x:c r="B996" s="34"/>
      <x:c r="C996" s="34"/>
      <x:c r="D996" s="34"/>
      <x:c r="E996" s="34"/>
      <x:c r="F996" s="35"/>
    </x:row>
    <x:row r="997" ht="24" customHeight="1">
      <x:c r="A997" s="34"/>
      <x:c r="B997" s="34"/>
      <x:c r="C997" s="34"/>
      <x:c r="D997" s="34"/>
      <x:c r="E997" s="34"/>
      <x:c r="F997" s="35"/>
    </x:row>
    <x:row r="998" ht="24" customHeight="1">
      <x:c r="A998" s="34"/>
      <x:c r="B998" s="34"/>
      <x:c r="C998" s="34"/>
      <x:c r="D998" s="34"/>
      <x:c r="E998" s="34"/>
      <x:c r="F998" s="35"/>
    </x:row>
    <x:row r="999" ht="24" customHeight="1">
      <x:c r="A999" s="34"/>
      <x:c r="B999" s="34"/>
      <x:c r="C999" s="34"/>
      <x:c r="D999" s="34"/>
      <x:c r="E999" s="34"/>
      <x:c r="F999" s="35"/>
    </x:row>
    <x:row r="1000" ht="24" customHeight="1">
      <x:c r="A1000" s="34"/>
      <x:c r="B1000" s="34"/>
      <x:c r="C1000" s="34"/>
      <x:c r="D1000" s="34"/>
      <x:c r="E1000" s="34"/>
      <x:c r="F1000" s="35"/>
    </x:row>
    <x:row r="1001" ht="24" customHeight="1">
      <x:c r="A1001" s="34"/>
      <x:c r="B1001" s="34"/>
      <x:c r="C1001" s="34"/>
      <x:c r="D1001" s="34"/>
      <x:c r="E1001" s="34"/>
      <x:c r="F1001" s="35"/>
    </x:row>
  </x:sheetData>
  <x:dataValidations count="1">
    <x:dataValidation type="list" sqref="D2:D1001">
      <x:formula1>"January,February,March,April,May,June,July,August,September,October,November,December"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8" customHeight="1">
      <x:c r="A1" s="29" t="str">
        <x:v>Date</x:v>
      </x:c>
      <x:c r="B1" s="29" t="str">
        <x:v>Year</x:v>
      </x:c>
      <x:c r="C1" s="29" t="str">
        <x:v>PaidFor</x:v>
      </x:c>
      <x:c r="D1" s="29" t="str">
        <x:v>Item</x:v>
      </x:c>
      <x:c r="E1" s="29" t="str">
        <x:v>Category</x:v>
      </x:c>
      <x:c r="F1" s="29" t="str">
        <x:v>Amount</x:v>
      </x:c>
      <x:c r="G1" s="1"/>
      <x:c r="H1" s="1"/>
      <x:c r="I1" s="1"/>
      <x:c r="J1" s="1"/>
      <x:c r="K1" s="1"/>
      <x:c r="L1" s="1"/>
    </x:row>
    <x:row r="2" ht="24" customHeight="1">
      <x:c r="A2" s="36" t="n">
        <x:v>46034</x:v>
      </x:c>
      <x:c r="B2" s="34" t="n">
        <x:v>2026</x:v>
      </x:c>
      <x:c r="C2" s="34" t="str">
        <x:v>Cash</x:v>
      </x:c>
      <x:c r="D2" s="34" t="str">
        <x:v>Groceries</x:v>
      </x:c>
      <x:c r="E2" s="34" t="str">
        <x:v>Basic Necessities</x:v>
      </x:c>
      <x:c r="F2" s="35" t="n">
        <x:v>5500</x:v>
      </x:c>
      <x:c r="G2" s="1"/>
      <x:c r="H2" s="1"/>
      <x:c r="I2" s="1"/>
      <x:c r="J2" s="1"/>
      <x:c r="K2" s="1"/>
      <x:c r="L2" s="1"/>
    </x:row>
    <x:row r="3" ht="24" customHeight="1">
      <x:c r="A3" s="36" t="n">
        <x:v>46065</x:v>
      </x:c>
      <x:c r="B3" s="34" t="n">
        <x:v>2026</x:v>
      </x:c>
      <x:c r="C3" s="34" t="str">
        <x:v>Cash</x:v>
      </x:c>
      <x:c r="D3" s="34" t="str">
        <x:v>Groceries</x:v>
      </x:c>
      <x:c r="E3" s="34" t="str">
        <x:v>Basic Necessities</x:v>
      </x:c>
      <x:c r="F3" s="35" t="n">
        <x:v>4200</x:v>
      </x:c>
      <x:c r="G3" s="1"/>
      <x:c r="H3" s="1"/>
      <x:c r="I3" s="1"/>
      <x:c r="J3" s="1"/>
      <x:c r="K3" s="1"/>
      <x:c r="L3" s="1"/>
    </x:row>
    <x:row r="4" ht="24" customHeight="1">
      <x:c r="A4" s="36" t="n">
        <x:v>46067</x:v>
      </x:c>
      <x:c r="B4" s="34" t="n">
        <x:v>2026</x:v>
      </x:c>
      <x:c r="C4" s="34" t="str">
        <x:v>Bank</x:v>
      </x:c>
      <x:c r="D4" s="34" t="str">
        <x:v>Electricity</x:v>
      </x:c>
      <x:c r="E4" s="34" t="str">
        <x:v>Bills</x:v>
      </x:c>
      <x:c r="F4" s="35" t="n">
        <x:v>1800</x:v>
      </x:c>
      <x:c r="G4" s="1"/>
      <x:c r="H4" s="1"/>
      <x:c r="I4" s="1"/>
      <x:c r="J4" s="1"/>
      <x:c r="K4" s="1"/>
      <x:c r="L4" s="1"/>
    </x:row>
    <x:row r="5" ht="24" customHeight="1">
      <x:c r="A5" s="36"/>
      <x:c r="B5" s="34"/>
      <x:c r="C5" s="34"/>
      <x:c r="D5" s="34"/>
      <x:c r="E5" s="34"/>
      <x:c r="F5" s="35"/>
      <x:c r="G5" s="1"/>
      <x:c r="H5" s="1"/>
      <x:c r="I5" s="1"/>
      <x:c r="J5" s="1"/>
      <x:c r="K5" s="1"/>
      <x:c r="L5" s="1"/>
    </x:row>
    <x:row r="6" ht="24" customHeight="1">
      <x:c r="A6" s="36"/>
      <x:c r="B6" s="34"/>
      <x:c r="C6" s="34"/>
      <x:c r="D6" s="34"/>
      <x:c r="E6" s="34"/>
      <x:c r="F6" s="35"/>
      <x:c r="G6" s="1"/>
      <x:c r="H6" s="1"/>
      <x:c r="I6" s="1"/>
      <x:c r="J6" s="1"/>
      <x:c r="K6" s="1"/>
      <x:c r="L6" s="1"/>
    </x:row>
    <x:row r="7" ht="24" customHeight="1">
      <x:c r="A7" s="36"/>
      <x:c r="B7" s="34"/>
      <x:c r="C7" s="34"/>
      <x:c r="D7" s="34"/>
      <x:c r="E7" s="34"/>
      <x:c r="F7" s="35"/>
      <x:c r="G7" s="1"/>
      <x:c r="H7" s="1"/>
      <x:c r="I7" s="1"/>
      <x:c r="J7" s="1"/>
      <x:c r="K7" s="1"/>
      <x:c r="L7" s="1"/>
    </x:row>
    <x:row r="8" ht="24" customHeight="1">
      <x:c r="A8" s="36"/>
      <x:c r="B8" s="34"/>
      <x:c r="C8" s="34"/>
      <x:c r="D8" s="34"/>
      <x:c r="E8" s="34"/>
      <x:c r="F8" s="35"/>
      <x:c r="G8" s="1"/>
      <x:c r="H8" s="1"/>
      <x:c r="I8" s="1"/>
      <x:c r="J8" s="1"/>
      <x:c r="K8" s="1"/>
      <x:c r="L8" s="1"/>
    </x:row>
    <x:row r="9" ht="24" customHeight="1">
      <x:c r="A9" s="36"/>
      <x:c r="B9" s="34"/>
      <x:c r="C9" s="34"/>
      <x:c r="D9" s="34"/>
      <x:c r="E9" s="34"/>
      <x:c r="F9" s="35"/>
      <x:c r="G9" s="1"/>
      <x:c r="H9" s="1"/>
      <x:c r="I9" s="1"/>
      <x:c r="J9" s="1"/>
      <x:c r="K9" s="1"/>
      <x:c r="L9" s="1"/>
    </x:row>
    <x:row r="10" ht="24" customHeight="1">
      <x:c r="A10" s="36"/>
      <x:c r="B10" s="34"/>
      <x:c r="C10" s="34"/>
      <x:c r="D10" s="34"/>
      <x:c r="E10" s="34"/>
      <x:c r="F10" s="35"/>
      <x:c r="G10" s="1"/>
      <x:c r="H10" s="1"/>
      <x:c r="I10" s="1"/>
      <x:c r="J10" s="1"/>
      <x:c r="K10" s="1"/>
      <x:c r="L10" s="1"/>
    </x:row>
    <x:row r="11" ht="24" customHeight="1">
      <x:c r="A11" s="36"/>
      <x:c r="B11" s="34"/>
      <x:c r="C11" s="34"/>
      <x:c r="D11" s="34"/>
      <x:c r="E11" s="34"/>
      <x:c r="F11" s="35"/>
      <x:c r="G11" s="1"/>
      <x:c r="H11" s="1"/>
      <x:c r="I11" s="1"/>
      <x:c r="J11" s="1"/>
      <x:c r="K11" s="1"/>
      <x:c r="L11" s="1"/>
    </x:row>
    <x:row r="12" ht="24" customHeight="1">
      <x:c r="A12" s="36"/>
      <x:c r="B12" s="34"/>
      <x:c r="C12" s="34"/>
      <x:c r="D12" s="34"/>
      <x:c r="E12" s="34"/>
      <x:c r="F12" s="35"/>
      <x:c r="G12" s="1"/>
      <x:c r="H12" s="1"/>
      <x:c r="I12" s="1"/>
      <x:c r="J12" s="1"/>
      <x:c r="K12" s="1"/>
      <x:c r="L12" s="1"/>
    </x:row>
    <x:row r="13" ht="24" customHeight="1">
      <x:c r="A13" s="36"/>
      <x:c r="B13" s="34"/>
      <x:c r="C13" s="34"/>
      <x:c r="D13" s="34"/>
      <x:c r="E13" s="34"/>
      <x:c r="F13" s="35"/>
      <x:c r="G13" s="1"/>
      <x:c r="H13" s="1"/>
      <x:c r="I13" s="1"/>
      <x:c r="J13" s="1"/>
      <x:c r="K13" s="1"/>
      <x:c r="L13" s="1"/>
    </x:row>
    <x:row r="14" ht="24" customHeight="1">
      <x:c r="A14" s="36"/>
      <x:c r="B14" s="34"/>
      <x:c r="C14" s="34"/>
      <x:c r="D14" s="34"/>
      <x:c r="E14" s="34"/>
      <x:c r="F14" s="35"/>
      <x:c r="G14" s="1"/>
      <x:c r="H14" s="1"/>
      <x:c r="I14" s="1"/>
      <x:c r="J14" s="1"/>
      <x:c r="K14" s="1"/>
      <x:c r="L14" s="1"/>
    </x:row>
    <x:row r="15" ht="24" customHeight="1">
      <x:c r="A15" s="36"/>
      <x:c r="B15" s="34"/>
      <x:c r="C15" s="34"/>
      <x:c r="D15" s="34"/>
      <x:c r="E15" s="34"/>
      <x:c r="F15" s="35"/>
      <x:c r="G15" s="1"/>
      <x:c r="H15" s="1"/>
      <x:c r="I15" s="1"/>
      <x:c r="J15" s="1"/>
      <x:c r="K15" s="1"/>
      <x:c r="L15" s="1"/>
    </x:row>
    <x:row r="16" ht="24" customHeight="1">
      <x:c r="A16" s="36"/>
      <x:c r="B16" s="34"/>
      <x:c r="C16" s="34"/>
      <x:c r="D16" s="34"/>
      <x:c r="E16" s="34"/>
      <x:c r="F16" s="35"/>
      <x:c r="G16" s="1"/>
      <x:c r="H16" s="1"/>
      <x:c r="I16" s="1"/>
      <x:c r="J16" s="1"/>
      <x:c r="K16" s="1"/>
      <x:c r="L16" s="1"/>
    </x:row>
    <x:row r="17" ht="24" customHeight="1">
      <x:c r="A17" s="36"/>
      <x:c r="B17" s="34"/>
      <x:c r="C17" s="34"/>
      <x:c r="D17" s="34"/>
      <x:c r="E17" s="34"/>
      <x:c r="F17" s="35"/>
      <x:c r="G17" s="1"/>
      <x:c r="H17" s="1"/>
      <x:c r="I17" s="1"/>
      <x:c r="J17" s="1"/>
      <x:c r="K17" s="1"/>
      <x:c r="L17" s="1"/>
    </x:row>
    <x:row r="18" ht="24" customHeight="1">
      <x:c r="A18" s="36"/>
      <x:c r="B18" s="34"/>
      <x:c r="C18" s="34"/>
      <x:c r="D18" s="34"/>
      <x:c r="E18" s="34"/>
      <x:c r="F18" s="35"/>
      <x:c r="G18" s="1"/>
      <x:c r="H18" s="1"/>
      <x:c r="I18" s="1"/>
      <x:c r="J18" s="1"/>
      <x:c r="K18" s="1"/>
      <x:c r="L18" s="1"/>
    </x:row>
    <x:row r="19" ht="24" customHeight="1">
      <x:c r="A19" s="36"/>
      <x:c r="B19" s="34"/>
      <x:c r="C19" s="34"/>
      <x:c r="D19" s="34"/>
      <x:c r="E19" s="34"/>
      <x:c r="F19" s="35"/>
      <x:c r="G19" s="1"/>
      <x:c r="H19" s="1"/>
      <x:c r="I19" s="1"/>
      <x:c r="J19" s="1"/>
      <x:c r="K19" s="1"/>
      <x:c r="L19" s="1"/>
    </x:row>
    <x:row r="20" ht="24" customHeight="1">
      <x:c r="A20" s="36"/>
      <x:c r="B20" s="34"/>
      <x:c r="C20" s="34"/>
      <x:c r="D20" s="34"/>
      <x:c r="E20" s="34"/>
      <x:c r="F20" s="35"/>
      <x:c r="G20" s="1"/>
      <x:c r="H20" s="1"/>
      <x:c r="I20" s="1"/>
      <x:c r="J20" s="1"/>
      <x:c r="K20" s="1"/>
      <x:c r="L20" s="1"/>
    </x:row>
    <x:row r="21" ht="24" customHeight="1">
      <x:c r="A21" s="36"/>
      <x:c r="B21" s="34"/>
      <x:c r="C21" s="34"/>
      <x:c r="D21" s="34"/>
      <x:c r="E21" s="34"/>
      <x:c r="F21" s="35"/>
      <x:c r="G21" s="1"/>
      <x:c r="H21" s="1"/>
      <x:c r="I21" s="1"/>
      <x:c r="J21" s="1"/>
      <x:c r="K21" s="1"/>
      <x:c r="L21" s="1"/>
    </x:row>
    <x:row r="22" ht="24" customHeight="1">
      <x:c r="A22" s="36"/>
      <x:c r="B22" s="34"/>
      <x:c r="C22" s="34"/>
      <x:c r="D22" s="34"/>
      <x:c r="E22" s="34"/>
      <x:c r="F22" s="35"/>
      <x:c r="G22" s="1"/>
      <x:c r="H22" s="1"/>
      <x:c r="I22" s="1"/>
      <x:c r="J22" s="1"/>
      <x:c r="K22" s="1"/>
      <x:c r="L22" s="1"/>
    </x:row>
    <x:row r="23" ht="24" customHeight="1">
      <x:c r="A23" s="36"/>
      <x:c r="B23" s="34"/>
      <x:c r="C23" s="34"/>
      <x:c r="D23" s="34"/>
      <x:c r="E23" s="34"/>
      <x:c r="F23" s="35"/>
      <x:c r="G23" s="1"/>
      <x:c r="H23" s="1"/>
      <x:c r="I23" s="1"/>
      <x:c r="J23" s="1"/>
      <x:c r="K23" s="1"/>
      <x:c r="L23" s="1"/>
    </x:row>
    <x:row r="24" ht="24" customHeight="1">
      <x:c r="A24" s="36"/>
      <x:c r="B24" s="34"/>
      <x:c r="C24" s="34"/>
      <x:c r="D24" s="34"/>
      <x:c r="E24" s="34"/>
      <x:c r="F24" s="35"/>
      <x:c r="G24" s="1"/>
      <x:c r="H24" s="1"/>
      <x:c r="I24" s="1"/>
      <x:c r="J24" s="1"/>
      <x:c r="K24" s="1"/>
      <x:c r="L24" s="1"/>
    </x:row>
    <x:row r="25" ht="24" customHeight="1">
      <x:c r="A25" s="36"/>
      <x:c r="B25" s="34"/>
      <x:c r="C25" s="34"/>
      <x:c r="D25" s="34"/>
      <x:c r="E25" s="34"/>
      <x:c r="F25" s="35"/>
      <x:c r="G25" s="1"/>
      <x:c r="H25" s="1"/>
      <x:c r="I25" s="1"/>
      <x:c r="J25" s="1"/>
      <x:c r="K25" s="1"/>
      <x:c r="L25" s="1"/>
    </x:row>
    <x:row r="26" ht="24" customHeight="1">
      <x:c r="A26" s="36"/>
      <x:c r="B26" s="34"/>
      <x:c r="C26" s="34"/>
      <x:c r="D26" s="34"/>
      <x:c r="E26" s="34"/>
      <x:c r="F26" s="35"/>
      <x:c r="G26" s="1"/>
      <x:c r="H26" s="1"/>
      <x:c r="I26" s="1"/>
      <x:c r="J26" s="1"/>
      <x:c r="K26" s="1"/>
      <x:c r="L26" s="1"/>
    </x:row>
    <x:row r="27" ht="24" customHeight="1">
      <x:c r="A27" s="36"/>
      <x:c r="B27" s="34"/>
      <x:c r="C27" s="34"/>
      <x:c r="D27" s="34"/>
      <x:c r="E27" s="34"/>
      <x:c r="F27" s="35"/>
      <x:c r="G27" s="1"/>
      <x:c r="H27" s="1"/>
      <x:c r="I27" s="1"/>
      <x:c r="J27" s="1"/>
      <x:c r="K27" s="1"/>
      <x:c r="L27" s="1"/>
    </x:row>
    <x:row r="28" ht="24" customHeight="1">
      <x:c r="A28" s="36"/>
      <x:c r="B28" s="34"/>
      <x:c r="C28" s="34"/>
      <x:c r="D28" s="34"/>
      <x:c r="E28" s="34"/>
      <x:c r="F28" s="35"/>
      <x:c r="G28" s="1"/>
      <x:c r="H28" s="1"/>
      <x:c r="I28" s="1"/>
      <x:c r="J28" s="1"/>
      <x:c r="K28" s="1"/>
      <x:c r="L28" s="1"/>
    </x:row>
    <x:row r="29" ht="24" customHeight="1">
      <x:c r="A29" s="36"/>
      <x:c r="B29" s="34"/>
      <x:c r="C29" s="34"/>
      <x:c r="D29" s="34"/>
      <x:c r="E29" s="34"/>
      <x:c r="F29" s="35"/>
      <x:c r="G29" s="1"/>
      <x:c r="H29" s="1"/>
      <x:c r="I29" s="1"/>
      <x:c r="J29" s="1"/>
      <x:c r="K29" s="1"/>
      <x:c r="L29" s="1"/>
    </x:row>
    <x:row r="30" ht="24" customHeight="1">
      <x:c r="A30" s="36"/>
      <x:c r="B30" s="34"/>
      <x:c r="C30" s="34"/>
      <x:c r="D30" s="34"/>
      <x:c r="E30" s="34"/>
      <x:c r="F30" s="35"/>
      <x:c r="G30" s="1"/>
      <x:c r="H30" s="1"/>
      <x:c r="I30" s="1"/>
      <x:c r="J30" s="1"/>
      <x:c r="K30" s="1"/>
      <x:c r="L30" s="1"/>
    </x:row>
    <x:row r="31" ht="24" customHeight="1">
      <x:c r="A31" s="36"/>
      <x:c r="B31" s="34"/>
      <x:c r="C31" s="34"/>
      <x:c r="D31" s="34"/>
      <x:c r="E31" s="34"/>
      <x:c r="F31" s="35"/>
      <x:c r="G31" s="1"/>
      <x:c r="H31" s="1"/>
      <x:c r="I31" s="1"/>
      <x:c r="J31" s="1"/>
      <x:c r="K31" s="1"/>
      <x:c r="L31" s="1"/>
    </x:row>
    <x:row r="32" ht="24" customHeight="1">
      <x:c r="A32" s="36"/>
      <x:c r="B32" s="34"/>
      <x:c r="C32" s="34"/>
      <x:c r="D32" s="34"/>
      <x:c r="E32" s="34"/>
      <x:c r="F32" s="35"/>
      <x:c r="G32" s="1"/>
      <x:c r="H32" s="1"/>
      <x:c r="I32" s="1"/>
      <x:c r="J32" s="1"/>
      <x:c r="K32" s="1"/>
      <x:c r="L32" s="1"/>
    </x:row>
    <x:row r="33" ht="24" customHeight="1">
      <x:c r="A33" s="36"/>
      <x:c r="B33" s="34"/>
      <x:c r="C33" s="34"/>
      <x:c r="D33" s="34"/>
      <x:c r="E33" s="34"/>
      <x:c r="F33" s="35"/>
      <x:c r="G33" s="1"/>
      <x:c r="H33" s="1"/>
      <x:c r="I33" s="1"/>
      <x:c r="J33" s="1"/>
      <x:c r="K33" s="1"/>
      <x:c r="L33" s="1"/>
    </x:row>
    <x:row r="34" ht="24" customHeight="1">
      <x:c r="A34" s="36"/>
      <x:c r="B34" s="34"/>
      <x:c r="C34" s="34"/>
      <x:c r="D34" s="34"/>
      <x:c r="E34" s="34"/>
      <x:c r="F34" s="35"/>
      <x:c r="G34" s="1"/>
      <x:c r="H34" s="1"/>
      <x:c r="I34" s="1"/>
      <x:c r="J34" s="1"/>
      <x:c r="K34" s="1"/>
      <x:c r="L34" s="1"/>
    </x:row>
    <x:row r="35" ht="24" customHeight="1">
      <x:c r="A35" s="36"/>
      <x:c r="B35" s="34"/>
      <x:c r="C35" s="34"/>
      <x:c r="D35" s="34"/>
      <x:c r="E35" s="34"/>
      <x:c r="F35" s="35"/>
      <x:c r="G35" s="1"/>
      <x:c r="H35" s="1"/>
      <x:c r="I35" s="1"/>
      <x:c r="J35" s="1"/>
      <x:c r="K35" s="1"/>
      <x:c r="L35" s="1"/>
    </x:row>
    <x:row r="36" ht="24" customHeight="1">
      <x:c r="A36" s="36"/>
      <x:c r="B36" s="34"/>
      <x:c r="C36" s="34"/>
      <x:c r="D36" s="34"/>
      <x:c r="E36" s="34"/>
      <x:c r="F36" s="35"/>
      <x:c r="G36" s="1"/>
      <x:c r="H36" s="1"/>
      <x:c r="I36" s="1"/>
      <x:c r="J36" s="1"/>
      <x:c r="K36" s="1"/>
      <x:c r="L36" s="1"/>
    </x:row>
    <x:row r="37" ht="24" customHeight="1">
      <x:c r="A37" s="36"/>
      <x:c r="B37" s="34"/>
      <x:c r="C37" s="34"/>
      <x:c r="D37" s="34"/>
      <x:c r="E37" s="34"/>
      <x:c r="F37" s="35"/>
      <x:c r="G37" s="1"/>
      <x:c r="H37" s="1"/>
      <x:c r="I37" s="1"/>
      <x:c r="J37" s="1"/>
      <x:c r="K37" s="1"/>
      <x:c r="L37" s="1"/>
    </x:row>
    <x:row r="38" ht="24" customHeight="1">
      <x:c r="A38" s="36"/>
      <x:c r="B38" s="34"/>
      <x:c r="C38" s="34"/>
      <x:c r="D38" s="34"/>
      <x:c r="E38" s="34"/>
      <x:c r="F38" s="35"/>
      <x:c r="G38" s="1"/>
      <x:c r="H38" s="1"/>
      <x:c r="I38" s="1"/>
      <x:c r="J38" s="1"/>
      <x:c r="K38" s="1"/>
      <x:c r="L38" s="1"/>
    </x:row>
    <x:row r="39" ht="24" customHeight="1">
      <x:c r="A39" s="36"/>
      <x:c r="B39" s="34"/>
      <x:c r="C39" s="34"/>
      <x:c r="D39" s="34"/>
      <x:c r="E39" s="34"/>
      <x:c r="F39" s="35"/>
      <x:c r="G39" s="1"/>
      <x:c r="H39" s="1"/>
      <x:c r="I39" s="1"/>
      <x:c r="J39" s="1"/>
      <x:c r="K39" s="1"/>
      <x:c r="L39" s="1"/>
    </x:row>
    <x:row r="40" ht="24" customHeight="1">
      <x:c r="A40" s="36"/>
      <x:c r="B40" s="34"/>
      <x:c r="C40" s="34"/>
      <x:c r="D40" s="34"/>
      <x:c r="E40" s="34"/>
      <x:c r="F40" s="35"/>
      <x:c r="G40" s="1"/>
      <x:c r="H40" s="1"/>
      <x:c r="I40" s="1"/>
      <x:c r="J40" s="1"/>
      <x:c r="K40" s="1"/>
      <x:c r="L40" s="1"/>
    </x:row>
    <x:row r="41" ht="24" customHeight="1">
      <x:c r="A41" s="36"/>
      <x:c r="B41" s="34"/>
      <x:c r="C41" s="34"/>
      <x:c r="D41" s="34"/>
      <x:c r="E41" s="34"/>
      <x:c r="F41" s="35"/>
      <x:c r="G41" s="1"/>
      <x:c r="H41" s="1"/>
      <x:c r="I41" s="1"/>
      <x:c r="J41" s="1"/>
      <x:c r="K41" s="1"/>
      <x:c r="L41" s="1"/>
    </x:row>
    <x:row r="42" ht="24" customHeight="1">
      <x:c r="A42" s="36"/>
      <x:c r="B42" s="34"/>
      <x:c r="C42" s="34"/>
      <x:c r="D42" s="34"/>
      <x:c r="E42" s="34"/>
      <x:c r="F42" s="35"/>
      <x:c r="G42" s="1"/>
      <x:c r="H42" s="1"/>
      <x:c r="I42" s="1"/>
      <x:c r="J42" s="1"/>
      <x:c r="K42" s="1"/>
      <x:c r="L42" s="1"/>
    </x:row>
    <x:row r="43" ht="24" customHeight="1">
      <x:c r="A43" s="36"/>
      <x:c r="B43" s="34"/>
      <x:c r="C43" s="34"/>
      <x:c r="D43" s="34"/>
      <x:c r="E43" s="34"/>
      <x:c r="F43" s="35"/>
      <x:c r="G43" s="1"/>
      <x:c r="H43" s="1"/>
      <x:c r="I43" s="1"/>
      <x:c r="J43" s="1"/>
      <x:c r="K43" s="1"/>
      <x:c r="L43" s="1"/>
    </x:row>
    <x:row r="44" ht="24" customHeight="1">
      <x:c r="A44" s="36"/>
      <x:c r="B44" s="34"/>
      <x:c r="C44" s="34"/>
      <x:c r="D44" s="34"/>
      <x:c r="E44" s="34"/>
      <x:c r="F44" s="35"/>
      <x:c r="G44" s="1"/>
      <x:c r="H44" s="1"/>
      <x:c r="I44" s="1"/>
      <x:c r="J44" s="1"/>
      <x:c r="K44" s="1"/>
      <x:c r="L44" s="1"/>
    </x:row>
    <x:row r="45" ht="24" customHeight="1">
      <x:c r="A45" s="36"/>
      <x:c r="B45" s="34"/>
      <x:c r="C45" s="34"/>
      <x:c r="D45" s="34"/>
      <x:c r="E45" s="34"/>
      <x:c r="F45" s="35"/>
      <x:c r="G45" s="1"/>
      <x:c r="H45" s="1"/>
      <x:c r="I45" s="1"/>
      <x:c r="J45" s="1"/>
      <x:c r="K45" s="1"/>
      <x:c r="L45" s="1"/>
    </x:row>
    <x:row r="46" ht="24" customHeight="1">
      <x:c r="A46" s="36"/>
      <x:c r="B46" s="34"/>
      <x:c r="C46" s="34"/>
      <x:c r="D46" s="34"/>
      <x:c r="E46" s="34"/>
      <x:c r="F46" s="35"/>
      <x:c r="G46" s="1"/>
      <x:c r="H46" s="1"/>
      <x:c r="I46" s="1"/>
      <x:c r="J46" s="1"/>
      <x:c r="K46" s="1"/>
      <x:c r="L46" s="1"/>
    </x:row>
    <x:row r="47" ht="24" customHeight="1">
      <x:c r="A47" s="36"/>
      <x:c r="B47" s="34"/>
      <x:c r="C47" s="34"/>
      <x:c r="D47" s="34"/>
      <x:c r="E47" s="34"/>
      <x:c r="F47" s="35"/>
      <x:c r="G47" s="1"/>
      <x:c r="H47" s="1"/>
      <x:c r="I47" s="1"/>
      <x:c r="J47" s="1"/>
      <x:c r="K47" s="1"/>
      <x:c r="L47" s="1"/>
    </x:row>
    <x:row r="48" ht="24" customHeight="1">
      <x:c r="A48" s="36"/>
      <x:c r="B48" s="34"/>
      <x:c r="C48" s="34"/>
      <x:c r="D48" s="34"/>
      <x:c r="E48" s="34"/>
      <x:c r="F48" s="35"/>
      <x:c r="G48" s="1"/>
      <x:c r="H48" s="1"/>
      <x:c r="I48" s="1"/>
      <x:c r="J48" s="1"/>
      <x:c r="K48" s="1"/>
      <x:c r="L48" s="1"/>
    </x:row>
    <x:row r="49" ht="24" customHeight="1">
      <x:c r="A49" s="36"/>
      <x:c r="B49" s="34"/>
      <x:c r="C49" s="34"/>
      <x:c r="D49" s="34"/>
      <x:c r="E49" s="34"/>
      <x:c r="F49" s="35"/>
      <x:c r="G49" s="1"/>
      <x:c r="H49" s="1"/>
      <x:c r="I49" s="1"/>
      <x:c r="J49" s="1"/>
      <x:c r="K49" s="1"/>
      <x:c r="L49" s="1"/>
    </x:row>
    <x:row r="50" ht="24" customHeight="1">
      <x:c r="A50" s="36"/>
      <x:c r="B50" s="34"/>
      <x:c r="C50" s="34"/>
      <x:c r="D50" s="34"/>
      <x:c r="E50" s="34"/>
      <x:c r="F50" s="35"/>
      <x:c r="G50" s="1"/>
      <x:c r="H50" s="1"/>
      <x:c r="I50" s="1"/>
      <x:c r="J50" s="1"/>
      <x:c r="K50" s="1"/>
      <x:c r="L50" s="1"/>
    </x:row>
    <x:row r="51" ht="24" customHeight="1">
      <x:c r="A51" s="36"/>
      <x:c r="B51" s="34"/>
      <x:c r="C51" s="34"/>
      <x:c r="D51" s="34"/>
      <x:c r="E51" s="34"/>
      <x:c r="F51" s="35"/>
      <x:c r="G51" s="1"/>
      <x:c r="H51" s="1"/>
      <x:c r="I51" s="1"/>
      <x:c r="J51" s="1"/>
      <x:c r="K51" s="1"/>
      <x:c r="L51" s="1"/>
    </x:row>
    <x:row r="52" ht="24" customHeight="1">
      <x:c r="A52" s="36"/>
      <x:c r="B52" s="34"/>
      <x:c r="C52" s="34"/>
      <x:c r="D52" s="34"/>
      <x:c r="E52" s="34"/>
      <x:c r="F52" s="35"/>
      <x:c r="G52" s="1"/>
      <x:c r="H52" s="1"/>
      <x:c r="I52" s="1"/>
      <x:c r="J52" s="1"/>
      <x:c r="K52" s="1"/>
      <x:c r="L52" s="1"/>
    </x:row>
    <x:row r="53" ht="24" customHeight="1">
      <x:c r="A53" s="36"/>
      <x:c r="B53" s="34"/>
      <x:c r="C53" s="34"/>
      <x:c r="D53" s="34"/>
      <x:c r="E53" s="34"/>
      <x:c r="F53" s="35"/>
      <x:c r="G53" s="1"/>
      <x:c r="H53" s="1"/>
      <x:c r="I53" s="1"/>
      <x:c r="J53" s="1"/>
      <x:c r="K53" s="1"/>
      <x:c r="L53" s="1"/>
    </x:row>
    <x:row r="54" ht="24" customHeight="1">
      <x:c r="A54" s="36"/>
      <x:c r="B54" s="34"/>
      <x:c r="C54" s="34"/>
      <x:c r="D54" s="34"/>
      <x:c r="E54" s="34"/>
      <x:c r="F54" s="35"/>
      <x:c r="G54" s="1"/>
      <x:c r="H54" s="1"/>
      <x:c r="I54" s="1"/>
      <x:c r="J54" s="1"/>
      <x:c r="K54" s="1"/>
      <x:c r="L54" s="1"/>
    </x:row>
    <x:row r="55" ht="24" customHeight="1">
      <x:c r="A55" s="36"/>
      <x:c r="B55" s="34"/>
      <x:c r="C55" s="34"/>
      <x:c r="D55" s="34"/>
      <x:c r="E55" s="34"/>
      <x:c r="F55" s="35"/>
      <x:c r="G55" s="1"/>
      <x:c r="H55" s="1"/>
      <x:c r="I55" s="1"/>
      <x:c r="J55" s="1"/>
      <x:c r="K55" s="1"/>
      <x:c r="L55" s="1"/>
    </x:row>
    <x:row r="56" ht="24" customHeight="1">
      <x:c r="A56" s="36"/>
      <x:c r="B56" s="34"/>
      <x:c r="C56" s="34"/>
      <x:c r="D56" s="34"/>
      <x:c r="E56" s="34"/>
      <x:c r="F56" s="35"/>
      <x:c r="G56" s="1"/>
      <x:c r="H56" s="1"/>
      <x:c r="I56" s="1"/>
      <x:c r="J56" s="1"/>
      <x:c r="K56" s="1"/>
      <x:c r="L56" s="1"/>
    </x:row>
    <x:row r="57" ht="24" customHeight="1">
      <x:c r="A57" s="36"/>
      <x:c r="B57" s="34"/>
      <x:c r="C57" s="34"/>
      <x:c r="D57" s="34"/>
      <x:c r="E57" s="34"/>
      <x:c r="F57" s="35"/>
      <x:c r="G57" s="1"/>
      <x:c r="H57" s="1"/>
      <x:c r="I57" s="1"/>
      <x:c r="J57" s="1"/>
      <x:c r="K57" s="1"/>
      <x:c r="L57" s="1"/>
    </x:row>
    <x:row r="58" ht="24" customHeight="1">
      <x:c r="A58" s="36"/>
      <x:c r="B58" s="34"/>
      <x:c r="C58" s="34"/>
      <x:c r="D58" s="34"/>
      <x:c r="E58" s="34"/>
      <x:c r="F58" s="35"/>
      <x:c r="G58" s="1"/>
      <x:c r="H58" s="1"/>
      <x:c r="I58" s="1"/>
      <x:c r="J58" s="1"/>
      <x:c r="K58" s="1"/>
      <x:c r="L58" s="1"/>
    </x:row>
    <x:row r="59" ht="24" customHeight="1">
      <x:c r="A59" s="36"/>
      <x:c r="B59" s="34"/>
      <x:c r="C59" s="34"/>
      <x:c r="D59" s="34"/>
      <x:c r="E59" s="34"/>
      <x:c r="F59" s="35"/>
      <x:c r="G59" s="1"/>
      <x:c r="H59" s="1"/>
      <x:c r="I59" s="1"/>
      <x:c r="J59" s="1"/>
      <x:c r="K59" s="1"/>
      <x:c r="L59" s="1"/>
    </x:row>
    <x:row r="60" ht="24" customHeight="1">
      <x:c r="A60" s="36"/>
      <x:c r="B60" s="34"/>
      <x:c r="C60" s="34"/>
      <x:c r="D60" s="34"/>
      <x:c r="E60" s="34"/>
      <x:c r="F60" s="35"/>
      <x:c r="G60" s="1"/>
      <x:c r="H60" s="1"/>
      <x:c r="I60" s="1"/>
      <x:c r="J60" s="1"/>
      <x:c r="K60" s="1"/>
      <x:c r="L60" s="1"/>
    </x:row>
    <x:row r="61" ht="24" customHeight="1">
      <x:c r="A61" s="36"/>
      <x:c r="B61" s="34"/>
      <x:c r="C61" s="34"/>
      <x:c r="D61" s="34"/>
      <x:c r="E61" s="34"/>
      <x:c r="F61" s="35"/>
      <x:c r="G61" s="1"/>
      <x:c r="H61" s="1"/>
      <x:c r="I61" s="1"/>
      <x:c r="J61" s="1"/>
      <x:c r="K61" s="1"/>
      <x:c r="L61" s="1"/>
    </x:row>
    <x:row r="62" ht="24" customHeight="1">
      <x:c r="A62" s="36"/>
      <x:c r="B62" s="34"/>
      <x:c r="C62" s="34"/>
      <x:c r="D62" s="34"/>
      <x:c r="E62" s="34"/>
      <x:c r="F62" s="35"/>
      <x:c r="G62" s="1"/>
      <x:c r="H62" s="1"/>
      <x:c r="I62" s="1"/>
      <x:c r="J62" s="1"/>
      <x:c r="K62" s="1"/>
      <x:c r="L62" s="1"/>
    </x:row>
    <x:row r="63" ht="24" customHeight="1">
      <x:c r="A63" s="36"/>
      <x:c r="B63" s="34"/>
      <x:c r="C63" s="34"/>
      <x:c r="D63" s="34"/>
      <x:c r="E63" s="34"/>
      <x:c r="F63" s="35"/>
      <x:c r="G63" s="1"/>
      <x:c r="H63" s="1"/>
      <x:c r="I63" s="1"/>
      <x:c r="J63" s="1"/>
      <x:c r="K63" s="1"/>
      <x:c r="L63" s="1"/>
    </x:row>
    <x:row r="64" ht="24" customHeight="1">
      <x:c r="A64" s="36"/>
      <x:c r="B64" s="34"/>
      <x:c r="C64" s="34"/>
      <x:c r="D64" s="34"/>
      <x:c r="E64" s="34"/>
      <x:c r="F64" s="35"/>
      <x:c r="G64" s="1"/>
      <x:c r="H64" s="1"/>
      <x:c r="I64" s="1"/>
      <x:c r="J64" s="1"/>
      <x:c r="K64" s="1"/>
      <x:c r="L64" s="1"/>
    </x:row>
    <x:row r="65" ht="24" customHeight="1">
      <x:c r="A65" s="36"/>
      <x:c r="B65" s="34"/>
      <x:c r="C65" s="34"/>
      <x:c r="D65" s="34"/>
      <x:c r="E65" s="34"/>
      <x:c r="F65" s="35"/>
      <x:c r="G65" s="1"/>
      <x:c r="H65" s="1"/>
      <x:c r="I65" s="1"/>
      <x:c r="J65" s="1"/>
      <x:c r="K65" s="1"/>
      <x:c r="L65" s="1"/>
    </x:row>
    <x:row r="66" ht="24" customHeight="1">
      <x:c r="A66" s="36"/>
      <x:c r="B66" s="34"/>
      <x:c r="C66" s="34"/>
      <x:c r="D66" s="34"/>
      <x:c r="E66" s="34"/>
      <x:c r="F66" s="35"/>
      <x:c r="G66" s="1"/>
      <x:c r="H66" s="1"/>
      <x:c r="I66" s="1"/>
      <x:c r="J66" s="1"/>
      <x:c r="K66" s="1"/>
      <x:c r="L66" s="1"/>
    </x:row>
    <x:row r="67" ht="24" customHeight="1">
      <x:c r="A67" s="36"/>
      <x:c r="B67" s="34"/>
      <x:c r="C67" s="34"/>
      <x:c r="D67" s="34"/>
      <x:c r="E67" s="34"/>
      <x:c r="F67" s="35"/>
      <x:c r="G67" s="1"/>
      <x:c r="H67" s="1"/>
      <x:c r="I67" s="1"/>
      <x:c r="J67" s="1"/>
      <x:c r="K67" s="1"/>
      <x:c r="L67" s="1"/>
    </x:row>
    <x:row r="68" ht="24" customHeight="1">
      <x:c r="A68" s="36"/>
      <x:c r="B68" s="34"/>
      <x:c r="C68" s="34"/>
      <x:c r="D68" s="34"/>
      <x:c r="E68" s="34"/>
      <x:c r="F68" s="35"/>
      <x:c r="G68" s="1"/>
      <x:c r="H68" s="1"/>
      <x:c r="I68" s="1"/>
      <x:c r="J68" s="1"/>
      <x:c r="K68" s="1"/>
      <x:c r="L68" s="1"/>
    </x:row>
    <x:row r="69" ht="24" customHeight="1">
      <x:c r="A69" s="36"/>
      <x:c r="B69" s="34"/>
      <x:c r="C69" s="34"/>
      <x:c r="D69" s="34"/>
      <x:c r="E69" s="34"/>
      <x:c r="F69" s="35"/>
      <x:c r="G69" s="1"/>
      <x:c r="H69" s="1"/>
      <x:c r="I69" s="1"/>
      <x:c r="J69" s="1"/>
      <x:c r="K69" s="1"/>
      <x:c r="L69" s="1"/>
    </x:row>
    <x:row r="70" ht="24" customHeight="1">
      <x:c r="A70" s="36"/>
      <x:c r="B70" s="34"/>
      <x:c r="C70" s="34"/>
      <x:c r="D70" s="34"/>
      <x:c r="E70" s="34"/>
      <x:c r="F70" s="35"/>
      <x:c r="G70" s="1"/>
      <x:c r="H70" s="1"/>
      <x:c r="I70" s="1"/>
      <x:c r="J70" s="1"/>
      <x:c r="K70" s="1"/>
      <x:c r="L70" s="1"/>
    </x:row>
    <x:row r="71" ht="24" customHeight="1">
      <x:c r="A71" s="36"/>
      <x:c r="B71" s="34"/>
      <x:c r="C71" s="34"/>
      <x:c r="D71" s="34"/>
      <x:c r="E71" s="34"/>
      <x:c r="F71" s="35"/>
      <x:c r="G71" s="1"/>
      <x:c r="H71" s="1"/>
      <x:c r="I71" s="1"/>
      <x:c r="J71" s="1"/>
      <x:c r="K71" s="1"/>
      <x:c r="L71" s="1"/>
    </x:row>
    <x:row r="72" ht="24" customHeight="1">
      <x:c r="A72" s="36"/>
      <x:c r="B72" s="34"/>
      <x:c r="C72" s="34"/>
      <x:c r="D72" s="34"/>
      <x:c r="E72" s="34"/>
      <x:c r="F72" s="35"/>
      <x:c r="G72" s="1"/>
      <x:c r="H72" s="1"/>
      <x:c r="I72" s="1"/>
      <x:c r="J72" s="1"/>
      <x:c r="K72" s="1"/>
      <x:c r="L72" s="1"/>
    </x:row>
    <x:row r="73" ht="24" customHeight="1">
      <x:c r="A73" s="36"/>
      <x:c r="B73" s="34"/>
      <x:c r="C73" s="34"/>
      <x:c r="D73" s="34"/>
      <x:c r="E73" s="34"/>
      <x:c r="F73" s="35"/>
      <x:c r="G73" s="1"/>
      <x:c r="H73" s="1"/>
      <x:c r="I73" s="1"/>
      <x:c r="J73" s="1"/>
      <x:c r="K73" s="1"/>
      <x:c r="L73" s="1"/>
    </x:row>
    <x:row r="74" ht="24" customHeight="1">
      <x:c r="A74" s="36"/>
      <x:c r="B74" s="34"/>
      <x:c r="C74" s="34"/>
      <x:c r="D74" s="34"/>
      <x:c r="E74" s="34"/>
      <x:c r="F74" s="35"/>
      <x:c r="G74" s="1"/>
      <x:c r="H74" s="1"/>
      <x:c r="I74" s="1"/>
      <x:c r="J74" s="1"/>
      <x:c r="K74" s="1"/>
      <x:c r="L74" s="1"/>
    </x:row>
    <x:row r="75" ht="24" customHeight="1">
      <x:c r="A75" s="36"/>
      <x:c r="B75" s="34"/>
      <x:c r="C75" s="34"/>
      <x:c r="D75" s="34"/>
      <x:c r="E75" s="34"/>
      <x:c r="F75" s="35"/>
      <x:c r="G75" s="1"/>
      <x:c r="H75" s="1"/>
      <x:c r="I75" s="1"/>
      <x:c r="J75" s="1"/>
      <x:c r="K75" s="1"/>
      <x:c r="L75" s="1"/>
    </x:row>
    <x:row r="76" ht="24" customHeight="1">
      <x:c r="A76" s="36"/>
      <x:c r="B76" s="34"/>
      <x:c r="C76" s="34"/>
      <x:c r="D76" s="34"/>
      <x:c r="E76" s="34"/>
      <x:c r="F76" s="35"/>
      <x:c r="G76" s="1"/>
      <x:c r="H76" s="1"/>
      <x:c r="I76" s="1"/>
      <x:c r="J76" s="1"/>
      <x:c r="K76" s="1"/>
      <x:c r="L76" s="1"/>
    </x:row>
    <x:row r="77" ht="24" customHeight="1">
      <x:c r="A77" s="36"/>
      <x:c r="B77" s="34"/>
      <x:c r="C77" s="34"/>
      <x:c r="D77" s="34"/>
      <x:c r="E77" s="34"/>
      <x:c r="F77" s="35"/>
      <x:c r="G77" s="1"/>
      <x:c r="H77" s="1"/>
      <x:c r="I77" s="1"/>
      <x:c r="J77" s="1"/>
      <x:c r="K77" s="1"/>
      <x:c r="L77" s="1"/>
    </x:row>
    <x:row r="78" ht="24" customHeight="1">
      <x:c r="A78" s="36"/>
      <x:c r="B78" s="34"/>
      <x:c r="C78" s="34"/>
      <x:c r="D78" s="34"/>
      <x:c r="E78" s="34"/>
      <x:c r="F78" s="35"/>
      <x:c r="G78" s="1"/>
      <x:c r="H78" s="1"/>
      <x:c r="I78" s="1"/>
      <x:c r="J78" s="1"/>
      <x:c r="K78" s="1"/>
      <x:c r="L78" s="1"/>
    </x:row>
    <x:row r="79" ht="24" customHeight="1">
      <x:c r="A79" s="36"/>
      <x:c r="B79" s="34"/>
      <x:c r="C79" s="34"/>
      <x:c r="D79" s="34"/>
      <x:c r="E79" s="34"/>
      <x:c r="F79" s="35"/>
      <x:c r="G79" s="1"/>
      <x:c r="H79" s="1"/>
      <x:c r="I79" s="1"/>
      <x:c r="J79" s="1"/>
      <x:c r="K79" s="1"/>
      <x:c r="L79" s="1"/>
    </x:row>
    <x:row r="80" ht="24" customHeight="1">
      <x:c r="A80" s="36"/>
      <x:c r="B80" s="34"/>
      <x:c r="C80" s="34"/>
      <x:c r="D80" s="34"/>
      <x:c r="E80" s="34"/>
      <x:c r="F80" s="35"/>
      <x:c r="G80" s="1"/>
      <x:c r="H80" s="1"/>
      <x:c r="I80" s="1"/>
      <x:c r="J80" s="1"/>
      <x:c r="K80" s="1"/>
      <x:c r="L80" s="1"/>
    </x:row>
    <x:row r="81" ht="24" customHeight="1">
      <x:c r="A81" s="36"/>
      <x:c r="B81" s="34"/>
      <x:c r="C81" s="34"/>
      <x:c r="D81" s="34"/>
      <x:c r="E81" s="34"/>
      <x:c r="F81" s="35"/>
    </x:row>
    <x:row r="82" ht="24" customHeight="1">
      <x:c r="A82" s="36"/>
      <x:c r="B82" s="34"/>
      <x:c r="C82" s="34"/>
      <x:c r="D82" s="34"/>
      <x:c r="E82" s="34"/>
      <x:c r="F82" s="35"/>
    </x:row>
    <x:row r="83" ht="24" customHeight="1">
      <x:c r="A83" s="36"/>
      <x:c r="B83" s="34"/>
      <x:c r="C83" s="34"/>
      <x:c r="D83" s="34"/>
      <x:c r="E83" s="34"/>
      <x:c r="F83" s="35"/>
    </x:row>
    <x:row r="84" ht="24" customHeight="1">
      <x:c r="A84" s="36"/>
      <x:c r="B84" s="34"/>
      <x:c r="C84" s="34"/>
      <x:c r="D84" s="34"/>
      <x:c r="E84" s="34"/>
      <x:c r="F84" s="35"/>
    </x:row>
    <x:row r="85" ht="24" customHeight="1">
      <x:c r="A85" s="36"/>
      <x:c r="B85" s="34"/>
      <x:c r="C85" s="34"/>
      <x:c r="D85" s="34"/>
      <x:c r="E85" s="34"/>
      <x:c r="F85" s="35"/>
    </x:row>
    <x:row r="86" ht="24" customHeight="1">
      <x:c r="A86" s="36"/>
      <x:c r="B86" s="34"/>
      <x:c r="C86" s="34"/>
      <x:c r="D86" s="34"/>
      <x:c r="E86" s="34"/>
      <x:c r="F86" s="35"/>
    </x:row>
    <x:row r="87" ht="24" customHeight="1">
      <x:c r="A87" s="36"/>
      <x:c r="B87" s="34"/>
      <x:c r="C87" s="34"/>
      <x:c r="D87" s="34"/>
      <x:c r="E87" s="34"/>
      <x:c r="F87" s="35"/>
    </x:row>
    <x:row r="88" ht="24" customHeight="1">
      <x:c r="A88" s="36"/>
      <x:c r="B88" s="34"/>
      <x:c r="C88" s="34"/>
      <x:c r="D88" s="34"/>
      <x:c r="E88" s="34"/>
      <x:c r="F88" s="35"/>
    </x:row>
    <x:row r="89" ht="24" customHeight="1">
      <x:c r="A89" s="36"/>
      <x:c r="B89" s="34"/>
      <x:c r="C89" s="34"/>
      <x:c r="D89" s="34"/>
      <x:c r="E89" s="34"/>
      <x:c r="F89" s="35"/>
    </x:row>
    <x:row r="90" ht="24" customHeight="1">
      <x:c r="A90" s="36"/>
      <x:c r="B90" s="34"/>
      <x:c r="C90" s="34"/>
      <x:c r="D90" s="34"/>
      <x:c r="E90" s="34"/>
      <x:c r="F90" s="35"/>
    </x:row>
    <x:row r="91" ht="24" customHeight="1">
      <x:c r="A91" s="36"/>
      <x:c r="B91" s="34"/>
      <x:c r="C91" s="34"/>
      <x:c r="D91" s="34"/>
      <x:c r="E91" s="34"/>
      <x:c r="F91" s="35"/>
    </x:row>
    <x:row r="92" ht="24" customHeight="1">
      <x:c r="A92" s="36"/>
      <x:c r="B92" s="34"/>
      <x:c r="C92" s="34"/>
      <x:c r="D92" s="34"/>
      <x:c r="E92" s="34"/>
      <x:c r="F92" s="35"/>
    </x:row>
    <x:row r="93" ht="24" customHeight="1">
      <x:c r="A93" s="36"/>
      <x:c r="B93" s="34"/>
      <x:c r="C93" s="34"/>
      <x:c r="D93" s="34"/>
      <x:c r="E93" s="34"/>
      <x:c r="F93" s="35"/>
    </x:row>
    <x:row r="94" ht="24" customHeight="1">
      <x:c r="A94" s="36"/>
      <x:c r="B94" s="34"/>
      <x:c r="C94" s="34"/>
      <x:c r="D94" s="34"/>
      <x:c r="E94" s="34"/>
      <x:c r="F94" s="35"/>
    </x:row>
    <x:row r="95" ht="24" customHeight="1">
      <x:c r="A95" s="36"/>
      <x:c r="B95" s="34"/>
      <x:c r="C95" s="34"/>
      <x:c r="D95" s="34"/>
      <x:c r="E95" s="34"/>
      <x:c r="F95" s="35"/>
    </x:row>
    <x:row r="96" ht="24" customHeight="1">
      <x:c r="A96" s="36"/>
      <x:c r="B96" s="34"/>
      <x:c r="C96" s="34"/>
      <x:c r="D96" s="34"/>
      <x:c r="E96" s="34"/>
      <x:c r="F96" s="35"/>
    </x:row>
    <x:row r="97" ht="24" customHeight="1">
      <x:c r="A97" s="36"/>
      <x:c r="B97" s="34"/>
      <x:c r="C97" s="34"/>
      <x:c r="D97" s="34"/>
      <x:c r="E97" s="34"/>
      <x:c r="F97" s="35"/>
    </x:row>
    <x:row r="98" ht="24" customHeight="1">
      <x:c r="A98" s="36"/>
      <x:c r="B98" s="34"/>
      <x:c r="C98" s="34"/>
      <x:c r="D98" s="34"/>
      <x:c r="E98" s="34"/>
      <x:c r="F98" s="35"/>
    </x:row>
    <x:row r="99" ht="24" customHeight="1">
      <x:c r="A99" s="36"/>
      <x:c r="B99" s="34"/>
      <x:c r="C99" s="34"/>
      <x:c r="D99" s="34"/>
      <x:c r="E99" s="34"/>
      <x:c r="F99" s="35"/>
    </x:row>
    <x:row r="100" ht="24" customHeight="1">
      <x:c r="A100" s="36"/>
      <x:c r="B100" s="34"/>
      <x:c r="C100" s="34"/>
      <x:c r="D100" s="34"/>
      <x:c r="E100" s="34"/>
      <x:c r="F100" s="35"/>
    </x:row>
    <x:row r="101" ht="24" customHeight="1">
      <x:c r="A101" s="36"/>
      <x:c r="B101" s="34"/>
      <x:c r="C101" s="34"/>
      <x:c r="D101" s="34"/>
      <x:c r="E101" s="34"/>
      <x:c r="F101" s="35"/>
    </x:row>
    <x:row r="102" ht="24" customHeight="1">
      <x:c r="A102" s="36"/>
      <x:c r="B102" s="34"/>
      <x:c r="C102" s="34"/>
      <x:c r="D102" s="34"/>
      <x:c r="E102" s="34"/>
      <x:c r="F102" s="35"/>
    </x:row>
    <x:row r="103" ht="24" customHeight="1">
      <x:c r="A103" s="36"/>
      <x:c r="B103" s="34"/>
      <x:c r="C103" s="34"/>
      <x:c r="D103" s="34"/>
      <x:c r="E103" s="34"/>
      <x:c r="F103" s="35"/>
    </x:row>
    <x:row r="104" ht="24" customHeight="1">
      <x:c r="A104" s="36"/>
      <x:c r="B104" s="34"/>
      <x:c r="C104" s="34"/>
      <x:c r="D104" s="34"/>
      <x:c r="E104" s="34"/>
      <x:c r="F104" s="35"/>
    </x:row>
    <x:row r="105" ht="24" customHeight="1">
      <x:c r="A105" s="36"/>
      <x:c r="B105" s="34"/>
      <x:c r="C105" s="34"/>
      <x:c r="D105" s="34"/>
      <x:c r="E105" s="34"/>
      <x:c r="F105" s="35"/>
    </x:row>
    <x:row r="106" ht="24" customHeight="1">
      <x:c r="A106" s="36"/>
      <x:c r="B106" s="34"/>
      <x:c r="C106" s="34"/>
      <x:c r="D106" s="34"/>
      <x:c r="E106" s="34"/>
      <x:c r="F106" s="35"/>
    </x:row>
    <x:row r="107" ht="24" customHeight="1">
      <x:c r="A107" s="36"/>
      <x:c r="B107" s="34"/>
      <x:c r="C107" s="34"/>
      <x:c r="D107" s="34"/>
      <x:c r="E107" s="34"/>
      <x:c r="F107" s="35"/>
    </x:row>
    <x:row r="108" ht="24" customHeight="1">
      <x:c r="A108" s="36"/>
      <x:c r="B108" s="34"/>
      <x:c r="C108" s="34"/>
      <x:c r="D108" s="34"/>
      <x:c r="E108" s="34"/>
      <x:c r="F108" s="35"/>
    </x:row>
    <x:row r="109" ht="24" customHeight="1">
      <x:c r="A109" s="36"/>
      <x:c r="B109" s="34"/>
      <x:c r="C109" s="34"/>
      <x:c r="D109" s="34"/>
      <x:c r="E109" s="34"/>
      <x:c r="F109" s="35"/>
    </x:row>
    <x:row r="110" ht="24" customHeight="1">
      <x:c r="A110" s="36"/>
      <x:c r="B110" s="34"/>
      <x:c r="C110" s="34"/>
      <x:c r="D110" s="34"/>
      <x:c r="E110" s="34"/>
      <x:c r="F110" s="35"/>
    </x:row>
    <x:row r="111" ht="24" customHeight="1">
      <x:c r="A111" s="36"/>
      <x:c r="B111" s="34"/>
      <x:c r="C111" s="34"/>
      <x:c r="D111" s="34"/>
      <x:c r="E111" s="34"/>
      <x:c r="F111" s="35"/>
    </x:row>
    <x:row r="112" ht="24" customHeight="1">
      <x:c r="A112" s="36"/>
      <x:c r="B112" s="34"/>
      <x:c r="C112" s="34"/>
      <x:c r="D112" s="34"/>
      <x:c r="E112" s="34"/>
      <x:c r="F112" s="35"/>
    </x:row>
    <x:row r="113" ht="24" customHeight="1">
      <x:c r="A113" s="36"/>
      <x:c r="B113" s="34"/>
      <x:c r="C113" s="34"/>
      <x:c r="D113" s="34"/>
      <x:c r="E113" s="34"/>
      <x:c r="F113" s="35"/>
    </x:row>
    <x:row r="114" ht="24" customHeight="1">
      <x:c r="A114" s="36"/>
      <x:c r="B114" s="34"/>
      <x:c r="C114" s="34"/>
      <x:c r="D114" s="34"/>
      <x:c r="E114" s="34"/>
      <x:c r="F114" s="35"/>
    </x:row>
    <x:row r="115" ht="24" customHeight="1">
      <x:c r="A115" s="36"/>
      <x:c r="B115" s="34"/>
      <x:c r="C115" s="34"/>
      <x:c r="D115" s="34"/>
      <x:c r="E115" s="34"/>
      <x:c r="F115" s="35"/>
    </x:row>
    <x:row r="116" ht="24" customHeight="1">
      <x:c r="A116" s="36"/>
      <x:c r="B116" s="34"/>
      <x:c r="C116" s="34"/>
      <x:c r="D116" s="34"/>
      <x:c r="E116" s="34"/>
      <x:c r="F116" s="35"/>
    </x:row>
    <x:row r="117" ht="24" customHeight="1">
      <x:c r="A117" s="36"/>
      <x:c r="B117" s="34"/>
      <x:c r="C117" s="34"/>
      <x:c r="D117" s="34"/>
      <x:c r="E117" s="34"/>
      <x:c r="F117" s="35"/>
    </x:row>
    <x:row r="118" ht="24" customHeight="1">
      <x:c r="A118" s="36"/>
      <x:c r="B118" s="34"/>
      <x:c r="C118" s="34"/>
      <x:c r="D118" s="34"/>
      <x:c r="E118" s="34"/>
      <x:c r="F118" s="35"/>
    </x:row>
    <x:row r="119" ht="24" customHeight="1">
      <x:c r="A119" s="36"/>
      <x:c r="B119" s="34"/>
      <x:c r="C119" s="34"/>
      <x:c r="D119" s="34"/>
      <x:c r="E119" s="34"/>
      <x:c r="F119" s="35"/>
    </x:row>
    <x:row r="120" ht="24" customHeight="1">
      <x:c r="A120" s="36"/>
      <x:c r="B120" s="34"/>
      <x:c r="C120" s="34"/>
      <x:c r="D120" s="34"/>
      <x:c r="E120" s="34"/>
      <x:c r="F120" s="35"/>
    </x:row>
    <x:row r="121" ht="24" customHeight="1">
      <x:c r="A121" s="36"/>
      <x:c r="B121" s="34"/>
      <x:c r="C121" s="34"/>
      <x:c r="D121" s="34"/>
      <x:c r="E121" s="34"/>
      <x:c r="F121" s="35"/>
    </x:row>
    <x:row r="122" ht="24" customHeight="1">
      <x:c r="A122" s="36"/>
      <x:c r="B122" s="34"/>
      <x:c r="C122" s="34"/>
      <x:c r="D122" s="34"/>
      <x:c r="E122" s="34"/>
      <x:c r="F122" s="35"/>
    </x:row>
    <x:row r="123" ht="24" customHeight="1">
      <x:c r="A123" s="36"/>
      <x:c r="B123" s="34"/>
      <x:c r="C123" s="34"/>
      <x:c r="D123" s="34"/>
      <x:c r="E123" s="34"/>
      <x:c r="F123" s="35"/>
    </x:row>
    <x:row r="124" ht="24" customHeight="1">
      <x:c r="A124" s="36"/>
      <x:c r="B124" s="34"/>
      <x:c r="C124" s="34"/>
      <x:c r="D124" s="34"/>
      <x:c r="E124" s="34"/>
      <x:c r="F124" s="35"/>
    </x:row>
    <x:row r="125" ht="24" customHeight="1">
      <x:c r="A125" s="36"/>
      <x:c r="B125" s="34"/>
      <x:c r="C125" s="34"/>
      <x:c r="D125" s="34"/>
      <x:c r="E125" s="34"/>
      <x:c r="F125" s="35"/>
    </x:row>
    <x:row r="126" ht="24" customHeight="1">
      <x:c r="A126" s="36"/>
      <x:c r="B126" s="34"/>
      <x:c r="C126" s="34"/>
      <x:c r="D126" s="34"/>
      <x:c r="E126" s="34"/>
      <x:c r="F126" s="35"/>
    </x:row>
    <x:row r="127" ht="24" customHeight="1">
      <x:c r="A127" s="36"/>
      <x:c r="B127" s="34"/>
      <x:c r="C127" s="34"/>
      <x:c r="D127" s="34"/>
      <x:c r="E127" s="34"/>
      <x:c r="F127" s="35"/>
    </x:row>
    <x:row r="128" ht="24" customHeight="1">
      <x:c r="A128" s="36"/>
      <x:c r="B128" s="34"/>
      <x:c r="C128" s="34"/>
      <x:c r="D128" s="34"/>
      <x:c r="E128" s="34"/>
      <x:c r="F128" s="35"/>
    </x:row>
    <x:row r="129" ht="24" customHeight="1">
      <x:c r="A129" s="36"/>
      <x:c r="B129" s="34"/>
      <x:c r="C129" s="34"/>
      <x:c r="D129" s="34"/>
      <x:c r="E129" s="34"/>
      <x:c r="F129" s="35"/>
    </x:row>
    <x:row r="130" ht="24" customHeight="1">
      <x:c r="A130" s="36"/>
      <x:c r="B130" s="34"/>
      <x:c r="C130" s="34"/>
      <x:c r="D130" s="34"/>
      <x:c r="E130" s="34"/>
      <x:c r="F130" s="35"/>
    </x:row>
    <x:row r="131" ht="24" customHeight="1">
      <x:c r="A131" s="36"/>
      <x:c r="B131" s="34"/>
      <x:c r="C131" s="34"/>
      <x:c r="D131" s="34"/>
      <x:c r="E131" s="34"/>
      <x:c r="F131" s="35"/>
    </x:row>
    <x:row r="132" ht="24" customHeight="1">
      <x:c r="A132" s="36"/>
      <x:c r="B132" s="34"/>
      <x:c r="C132" s="34"/>
      <x:c r="D132" s="34"/>
      <x:c r="E132" s="34"/>
      <x:c r="F132" s="35"/>
    </x:row>
    <x:row r="133" ht="24" customHeight="1">
      <x:c r="A133" s="36"/>
      <x:c r="B133" s="34"/>
      <x:c r="C133" s="34"/>
      <x:c r="D133" s="34"/>
      <x:c r="E133" s="34"/>
      <x:c r="F133" s="35"/>
    </x:row>
    <x:row r="134" ht="24" customHeight="1">
      <x:c r="A134" s="36"/>
      <x:c r="B134" s="34"/>
      <x:c r="C134" s="34"/>
      <x:c r="D134" s="34"/>
      <x:c r="E134" s="34"/>
      <x:c r="F134" s="35"/>
    </x:row>
    <x:row r="135" ht="24" customHeight="1">
      <x:c r="A135" s="36"/>
      <x:c r="B135" s="34"/>
      <x:c r="C135" s="34"/>
      <x:c r="D135" s="34"/>
      <x:c r="E135" s="34"/>
      <x:c r="F135" s="35"/>
    </x:row>
    <x:row r="136" ht="24" customHeight="1">
      <x:c r="A136" s="36"/>
      <x:c r="B136" s="34"/>
      <x:c r="C136" s="34"/>
      <x:c r="D136" s="34"/>
      <x:c r="E136" s="34"/>
      <x:c r="F136" s="35"/>
    </x:row>
    <x:row r="137" ht="24" customHeight="1">
      <x:c r="A137" s="36"/>
      <x:c r="B137" s="34"/>
      <x:c r="C137" s="34"/>
      <x:c r="D137" s="34"/>
      <x:c r="E137" s="34"/>
      <x:c r="F137" s="35"/>
    </x:row>
    <x:row r="138" ht="24" customHeight="1">
      <x:c r="A138" s="36"/>
      <x:c r="B138" s="34"/>
      <x:c r="C138" s="34"/>
      <x:c r="D138" s="34"/>
      <x:c r="E138" s="34"/>
      <x:c r="F138" s="35"/>
    </x:row>
    <x:row r="139" ht="24" customHeight="1">
      <x:c r="A139" s="36"/>
      <x:c r="B139" s="34"/>
      <x:c r="C139" s="34"/>
      <x:c r="D139" s="34"/>
      <x:c r="E139" s="34"/>
      <x:c r="F139" s="35"/>
    </x:row>
    <x:row r="140" ht="24" customHeight="1">
      <x:c r="A140" s="36"/>
      <x:c r="B140" s="34"/>
      <x:c r="C140" s="34"/>
      <x:c r="D140" s="34"/>
      <x:c r="E140" s="34"/>
      <x:c r="F140" s="35"/>
    </x:row>
    <x:row r="141" ht="24" customHeight="1">
      <x:c r="A141" s="36"/>
      <x:c r="B141" s="34"/>
      <x:c r="C141" s="34"/>
      <x:c r="D141" s="34"/>
      <x:c r="E141" s="34"/>
      <x:c r="F141" s="35"/>
    </x:row>
    <x:row r="142" ht="24" customHeight="1">
      <x:c r="A142" s="36"/>
      <x:c r="B142" s="34"/>
      <x:c r="C142" s="34"/>
      <x:c r="D142" s="34"/>
      <x:c r="E142" s="34"/>
      <x:c r="F142" s="35"/>
    </x:row>
    <x:row r="143" ht="24" customHeight="1">
      <x:c r="A143" s="36"/>
      <x:c r="B143" s="34"/>
      <x:c r="C143" s="34"/>
      <x:c r="D143" s="34"/>
      <x:c r="E143" s="34"/>
      <x:c r="F143" s="35"/>
    </x:row>
    <x:row r="144" ht="24" customHeight="1">
      <x:c r="A144" s="36"/>
      <x:c r="B144" s="34"/>
      <x:c r="C144" s="34"/>
      <x:c r="D144" s="34"/>
      <x:c r="E144" s="34"/>
      <x:c r="F144" s="35"/>
    </x:row>
    <x:row r="145" ht="24" customHeight="1">
      <x:c r="A145" s="36"/>
      <x:c r="B145" s="34"/>
      <x:c r="C145" s="34"/>
      <x:c r="D145" s="34"/>
      <x:c r="E145" s="34"/>
      <x:c r="F145" s="35"/>
    </x:row>
    <x:row r="146" ht="24" customHeight="1">
      <x:c r="A146" s="36"/>
      <x:c r="B146" s="34"/>
      <x:c r="C146" s="34"/>
      <x:c r="D146" s="34"/>
      <x:c r="E146" s="34"/>
      <x:c r="F146" s="35"/>
    </x:row>
    <x:row r="147" ht="24" customHeight="1">
      <x:c r="A147" s="36"/>
      <x:c r="B147" s="34"/>
      <x:c r="C147" s="34"/>
      <x:c r="D147" s="34"/>
      <x:c r="E147" s="34"/>
      <x:c r="F147" s="35"/>
    </x:row>
    <x:row r="148" ht="24" customHeight="1">
      <x:c r="A148" s="36"/>
      <x:c r="B148" s="34"/>
      <x:c r="C148" s="34"/>
      <x:c r="D148" s="34"/>
      <x:c r="E148" s="34"/>
      <x:c r="F148" s="35"/>
    </x:row>
    <x:row r="149" ht="24" customHeight="1">
      <x:c r="A149" s="36"/>
      <x:c r="B149" s="34"/>
      <x:c r="C149" s="34"/>
      <x:c r="D149" s="34"/>
      <x:c r="E149" s="34"/>
      <x:c r="F149" s="35"/>
    </x:row>
    <x:row r="150" ht="24" customHeight="1">
      <x:c r="A150" s="36"/>
      <x:c r="B150" s="34"/>
      <x:c r="C150" s="34"/>
      <x:c r="D150" s="34"/>
      <x:c r="E150" s="34"/>
      <x:c r="F150" s="35"/>
    </x:row>
    <x:row r="151" ht="24" customHeight="1">
      <x:c r="A151" s="36"/>
      <x:c r="B151" s="34"/>
      <x:c r="C151" s="34"/>
      <x:c r="D151" s="34"/>
      <x:c r="E151" s="34"/>
      <x:c r="F151" s="35"/>
    </x:row>
    <x:row r="152" ht="24" customHeight="1">
      <x:c r="A152" s="36"/>
      <x:c r="B152" s="34"/>
      <x:c r="C152" s="34"/>
      <x:c r="D152" s="34"/>
      <x:c r="E152" s="34"/>
      <x:c r="F152" s="35"/>
    </x:row>
    <x:row r="153" ht="24" customHeight="1">
      <x:c r="A153" s="36"/>
      <x:c r="B153" s="34"/>
      <x:c r="C153" s="34"/>
      <x:c r="D153" s="34"/>
      <x:c r="E153" s="34"/>
      <x:c r="F153" s="35"/>
    </x:row>
    <x:row r="154" ht="24" customHeight="1">
      <x:c r="A154" s="36"/>
      <x:c r="B154" s="34"/>
      <x:c r="C154" s="34"/>
      <x:c r="D154" s="34"/>
      <x:c r="E154" s="34"/>
      <x:c r="F154" s="35"/>
    </x:row>
    <x:row r="155" ht="24" customHeight="1">
      <x:c r="A155" s="36"/>
      <x:c r="B155" s="34"/>
      <x:c r="C155" s="34"/>
      <x:c r="D155" s="34"/>
      <x:c r="E155" s="34"/>
      <x:c r="F155" s="35"/>
    </x:row>
    <x:row r="156" ht="24" customHeight="1">
      <x:c r="A156" s="36"/>
      <x:c r="B156" s="34"/>
      <x:c r="C156" s="34"/>
      <x:c r="D156" s="34"/>
      <x:c r="E156" s="34"/>
      <x:c r="F156" s="35"/>
    </x:row>
    <x:row r="157" ht="24" customHeight="1">
      <x:c r="A157" s="36"/>
      <x:c r="B157" s="34"/>
      <x:c r="C157" s="34"/>
      <x:c r="D157" s="34"/>
      <x:c r="E157" s="34"/>
      <x:c r="F157" s="35"/>
    </x:row>
    <x:row r="158" ht="24" customHeight="1">
      <x:c r="A158" s="36"/>
      <x:c r="B158" s="34"/>
      <x:c r="C158" s="34"/>
      <x:c r="D158" s="34"/>
      <x:c r="E158" s="34"/>
      <x:c r="F158" s="35"/>
    </x:row>
    <x:row r="159" ht="24" customHeight="1">
      <x:c r="A159" s="36"/>
      <x:c r="B159" s="34"/>
      <x:c r="C159" s="34"/>
      <x:c r="D159" s="34"/>
      <x:c r="E159" s="34"/>
      <x:c r="F159" s="35"/>
    </x:row>
    <x:row r="160" ht="24" customHeight="1">
      <x:c r="A160" s="36"/>
      <x:c r="B160" s="34"/>
      <x:c r="C160" s="34"/>
      <x:c r="D160" s="34"/>
      <x:c r="E160" s="34"/>
      <x:c r="F160" s="35"/>
    </x:row>
    <x:row r="161" ht="24" customHeight="1">
      <x:c r="A161" s="36"/>
      <x:c r="B161" s="34"/>
      <x:c r="C161" s="34"/>
      <x:c r="D161" s="34"/>
      <x:c r="E161" s="34"/>
      <x:c r="F161" s="35"/>
    </x:row>
    <x:row r="162" ht="24" customHeight="1">
      <x:c r="A162" s="36"/>
      <x:c r="B162" s="34"/>
      <x:c r="C162" s="34"/>
      <x:c r="D162" s="34"/>
      <x:c r="E162" s="34"/>
      <x:c r="F162" s="35"/>
    </x:row>
    <x:row r="163" ht="24" customHeight="1">
      <x:c r="A163" s="36"/>
      <x:c r="B163" s="34"/>
      <x:c r="C163" s="34"/>
      <x:c r="D163" s="34"/>
      <x:c r="E163" s="34"/>
      <x:c r="F163" s="35"/>
    </x:row>
    <x:row r="164" ht="24" customHeight="1">
      <x:c r="A164" s="36"/>
      <x:c r="B164" s="34"/>
      <x:c r="C164" s="34"/>
      <x:c r="D164" s="34"/>
      <x:c r="E164" s="34"/>
      <x:c r="F164" s="35"/>
    </x:row>
    <x:row r="165" ht="24" customHeight="1">
      <x:c r="A165" s="36"/>
      <x:c r="B165" s="34"/>
      <x:c r="C165" s="34"/>
      <x:c r="D165" s="34"/>
      <x:c r="E165" s="34"/>
      <x:c r="F165" s="35"/>
    </x:row>
    <x:row r="166" ht="24" customHeight="1">
      <x:c r="A166" s="36"/>
      <x:c r="B166" s="34"/>
      <x:c r="C166" s="34"/>
      <x:c r="D166" s="34"/>
      <x:c r="E166" s="34"/>
      <x:c r="F166" s="35"/>
    </x:row>
    <x:row r="167" ht="24" customHeight="1">
      <x:c r="A167" s="36"/>
      <x:c r="B167" s="34"/>
      <x:c r="C167" s="34"/>
      <x:c r="D167" s="34"/>
      <x:c r="E167" s="34"/>
      <x:c r="F167" s="35"/>
    </x:row>
    <x:row r="168" ht="24" customHeight="1">
      <x:c r="A168" s="36"/>
      <x:c r="B168" s="34"/>
      <x:c r="C168" s="34"/>
      <x:c r="D168" s="34"/>
      <x:c r="E168" s="34"/>
      <x:c r="F168" s="35"/>
    </x:row>
    <x:row r="169" ht="24" customHeight="1">
      <x:c r="A169" s="36"/>
      <x:c r="B169" s="34"/>
      <x:c r="C169" s="34"/>
      <x:c r="D169" s="34"/>
      <x:c r="E169" s="34"/>
      <x:c r="F169" s="35"/>
    </x:row>
    <x:row r="170" ht="24" customHeight="1">
      <x:c r="A170" s="36"/>
      <x:c r="B170" s="34"/>
      <x:c r="C170" s="34"/>
      <x:c r="D170" s="34"/>
      <x:c r="E170" s="34"/>
      <x:c r="F170" s="35"/>
    </x:row>
    <x:row r="171" ht="24" customHeight="1">
      <x:c r="A171" s="36"/>
      <x:c r="B171" s="34"/>
      <x:c r="C171" s="34"/>
      <x:c r="D171" s="34"/>
      <x:c r="E171" s="34"/>
      <x:c r="F171" s="35"/>
    </x:row>
    <x:row r="172" ht="24" customHeight="1">
      <x:c r="A172" s="36"/>
      <x:c r="B172" s="34"/>
      <x:c r="C172" s="34"/>
      <x:c r="D172" s="34"/>
      <x:c r="E172" s="34"/>
      <x:c r="F172" s="35"/>
    </x:row>
    <x:row r="173" ht="24" customHeight="1">
      <x:c r="A173" s="36"/>
      <x:c r="B173" s="34"/>
      <x:c r="C173" s="34"/>
      <x:c r="D173" s="34"/>
      <x:c r="E173" s="34"/>
      <x:c r="F173" s="35"/>
    </x:row>
    <x:row r="174" ht="24" customHeight="1">
      <x:c r="A174" s="36"/>
      <x:c r="B174" s="34"/>
      <x:c r="C174" s="34"/>
      <x:c r="D174" s="34"/>
      <x:c r="E174" s="34"/>
      <x:c r="F174" s="35"/>
    </x:row>
    <x:row r="175" ht="24" customHeight="1">
      <x:c r="A175" s="36"/>
      <x:c r="B175" s="34"/>
      <x:c r="C175" s="34"/>
      <x:c r="D175" s="34"/>
      <x:c r="E175" s="34"/>
      <x:c r="F175" s="35"/>
    </x:row>
    <x:row r="176" ht="24" customHeight="1">
      <x:c r="A176" s="36"/>
      <x:c r="B176" s="34"/>
      <x:c r="C176" s="34"/>
      <x:c r="D176" s="34"/>
      <x:c r="E176" s="34"/>
      <x:c r="F176" s="35"/>
    </x:row>
    <x:row r="177" ht="24" customHeight="1">
      <x:c r="A177" s="36"/>
      <x:c r="B177" s="34"/>
      <x:c r="C177" s="34"/>
      <x:c r="D177" s="34"/>
      <x:c r="E177" s="34"/>
      <x:c r="F177" s="35"/>
    </x:row>
    <x:row r="178" ht="24" customHeight="1">
      <x:c r="A178" s="36"/>
      <x:c r="B178" s="34"/>
      <x:c r="C178" s="34"/>
      <x:c r="D178" s="34"/>
      <x:c r="E178" s="34"/>
      <x:c r="F178" s="35"/>
    </x:row>
    <x:row r="179" ht="24" customHeight="1">
      <x:c r="A179" s="36"/>
      <x:c r="B179" s="34"/>
      <x:c r="C179" s="34"/>
      <x:c r="D179" s="34"/>
      <x:c r="E179" s="34"/>
      <x:c r="F179" s="35"/>
    </x:row>
    <x:row r="180" ht="24" customHeight="1">
      <x:c r="A180" s="36"/>
      <x:c r="B180" s="34"/>
      <x:c r="C180" s="34"/>
      <x:c r="D180" s="34"/>
      <x:c r="E180" s="34"/>
      <x:c r="F180" s="35"/>
    </x:row>
    <x:row r="181" ht="24" customHeight="1">
      <x:c r="A181" s="36"/>
      <x:c r="B181" s="34"/>
      <x:c r="C181" s="34"/>
      <x:c r="D181" s="34"/>
      <x:c r="E181" s="34"/>
      <x:c r="F181" s="35"/>
    </x:row>
    <x:row r="182" ht="24" customHeight="1">
      <x:c r="A182" s="36"/>
      <x:c r="B182" s="34"/>
      <x:c r="C182" s="34"/>
      <x:c r="D182" s="34"/>
      <x:c r="E182" s="34"/>
      <x:c r="F182" s="35"/>
    </x:row>
    <x:row r="183" ht="24" customHeight="1">
      <x:c r="A183" s="36"/>
      <x:c r="B183" s="34"/>
      <x:c r="C183" s="34"/>
      <x:c r="D183" s="34"/>
      <x:c r="E183" s="34"/>
      <x:c r="F183" s="35"/>
    </x:row>
    <x:row r="184" ht="24" customHeight="1">
      <x:c r="A184" s="36"/>
      <x:c r="B184" s="34"/>
      <x:c r="C184" s="34"/>
      <x:c r="D184" s="34"/>
      <x:c r="E184" s="34"/>
      <x:c r="F184" s="35"/>
    </x:row>
    <x:row r="185" ht="24" customHeight="1">
      <x:c r="A185" s="36"/>
      <x:c r="B185" s="34"/>
      <x:c r="C185" s="34"/>
      <x:c r="D185" s="34"/>
      <x:c r="E185" s="34"/>
      <x:c r="F185" s="35"/>
    </x:row>
    <x:row r="186" ht="24" customHeight="1">
      <x:c r="A186" s="36"/>
      <x:c r="B186" s="34"/>
      <x:c r="C186" s="34"/>
      <x:c r="D186" s="34"/>
      <x:c r="E186" s="34"/>
      <x:c r="F186" s="35"/>
    </x:row>
    <x:row r="187" ht="24" customHeight="1">
      <x:c r="A187" s="36"/>
      <x:c r="B187" s="34"/>
      <x:c r="C187" s="34"/>
      <x:c r="D187" s="34"/>
      <x:c r="E187" s="34"/>
      <x:c r="F187" s="35"/>
    </x:row>
    <x:row r="188" ht="24" customHeight="1">
      <x:c r="A188" s="36"/>
      <x:c r="B188" s="34"/>
      <x:c r="C188" s="34"/>
      <x:c r="D188" s="34"/>
      <x:c r="E188" s="34"/>
      <x:c r="F188" s="35"/>
    </x:row>
    <x:row r="189" ht="24" customHeight="1">
      <x:c r="A189" s="36"/>
      <x:c r="B189" s="34"/>
      <x:c r="C189" s="34"/>
      <x:c r="D189" s="34"/>
      <x:c r="E189" s="34"/>
      <x:c r="F189" s="35"/>
    </x:row>
    <x:row r="190" ht="24" customHeight="1">
      <x:c r="A190" s="36"/>
      <x:c r="B190" s="34"/>
      <x:c r="C190" s="34"/>
      <x:c r="D190" s="34"/>
      <x:c r="E190" s="34"/>
      <x:c r="F190" s="35"/>
    </x:row>
    <x:row r="191" ht="24" customHeight="1">
      <x:c r="A191" s="36"/>
      <x:c r="B191" s="34"/>
      <x:c r="C191" s="34"/>
      <x:c r="D191" s="34"/>
      <x:c r="E191" s="34"/>
      <x:c r="F191" s="35"/>
    </x:row>
    <x:row r="192" ht="24" customHeight="1">
      <x:c r="A192" s="36"/>
      <x:c r="B192" s="34"/>
      <x:c r="C192" s="34"/>
      <x:c r="D192" s="34"/>
      <x:c r="E192" s="34"/>
      <x:c r="F192" s="35"/>
    </x:row>
    <x:row r="193" ht="24" customHeight="1">
      <x:c r="A193" s="36"/>
      <x:c r="B193" s="34"/>
      <x:c r="C193" s="34"/>
      <x:c r="D193" s="34"/>
      <x:c r="E193" s="34"/>
      <x:c r="F193" s="35"/>
    </x:row>
    <x:row r="194" ht="24" customHeight="1">
      <x:c r="A194" s="36"/>
      <x:c r="B194" s="34"/>
      <x:c r="C194" s="34"/>
      <x:c r="D194" s="34"/>
      <x:c r="E194" s="34"/>
      <x:c r="F194" s="35"/>
    </x:row>
    <x:row r="195" ht="24" customHeight="1">
      <x:c r="A195" s="36"/>
      <x:c r="B195" s="34"/>
      <x:c r="C195" s="34"/>
      <x:c r="D195" s="34"/>
      <x:c r="E195" s="34"/>
      <x:c r="F195" s="35"/>
    </x:row>
    <x:row r="196" ht="24" customHeight="1">
      <x:c r="A196" s="36"/>
      <x:c r="B196" s="34"/>
      <x:c r="C196" s="34"/>
      <x:c r="D196" s="34"/>
      <x:c r="E196" s="34"/>
      <x:c r="F196" s="35"/>
    </x:row>
    <x:row r="197" ht="24" customHeight="1">
      <x:c r="A197" s="36"/>
      <x:c r="B197" s="34"/>
      <x:c r="C197" s="34"/>
      <x:c r="D197" s="34"/>
      <x:c r="E197" s="34"/>
      <x:c r="F197" s="35"/>
    </x:row>
    <x:row r="198" ht="24" customHeight="1">
      <x:c r="A198" s="36"/>
      <x:c r="B198" s="34"/>
      <x:c r="C198" s="34"/>
      <x:c r="D198" s="34"/>
      <x:c r="E198" s="34"/>
      <x:c r="F198" s="35"/>
    </x:row>
    <x:row r="199" ht="24" customHeight="1">
      <x:c r="A199" s="36"/>
      <x:c r="B199" s="34"/>
      <x:c r="C199" s="34"/>
      <x:c r="D199" s="34"/>
      <x:c r="E199" s="34"/>
      <x:c r="F199" s="35"/>
    </x:row>
    <x:row r="200" ht="24" customHeight="1">
      <x:c r="A200" s="36"/>
      <x:c r="B200" s="34"/>
      <x:c r="C200" s="34"/>
      <x:c r="D200" s="34"/>
      <x:c r="E200" s="34"/>
      <x:c r="F200" s="35"/>
    </x:row>
    <x:row r="201" ht="24" customHeight="1">
      <x:c r="A201" s="36"/>
      <x:c r="B201" s="34"/>
      <x:c r="C201" s="34"/>
      <x:c r="D201" s="34"/>
      <x:c r="E201" s="34"/>
      <x:c r="F201" s="35"/>
    </x:row>
    <x:row r="202" ht="24" customHeight="1">
      <x:c r="A202" s="36"/>
      <x:c r="B202" s="34"/>
      <x:c r="C202" s="34"/>
      <x:c r="D202" s="34"/>
      <x:c r="E202" s="34"/>
      <x:c r="F202" s="35"/>
    </x:row>
    <x:row r="203" ht="24" customHeight="1">
      <x:c r="A203" s="36"/>
      <x:c r="B203" s="34"/>
      <x:c r="C203" s="34"/>
      <x:c r="D203" s="34"/>
      <x:c r="E203" s="34"/>
      <x:c r="F203" s="35"/>
    </x:row>
    <x:row r="204" ht="24" customHeight="1">
      <x:c r="A204" s="36"/>
      <x:c r="B204" s="34"/>
      <x:c r="C204" s="34"/>
      <x:c r="D204" s="34"/>
      <x:c r="E204" s="34"/>
      <x:c r="F204" s="35"/>
    </x:row>
    <x:row r="205" ht="24" customHeight="1">
      <x:c r="A205" s="36"/>
      <x:c r="B205" s="34"/>
      <x:c r="C205" s="34"/>
      <x:c r="D205" s="34"/>
      <x:c r="E205" s="34"/>
      <x:c r="F205" s="35"/>
    </x:row>
    <x:row r="206" ht="24" customHeight="1">
      <x:c r="A206" s="36"/>
      <x:c r="B206" s="34"/>
      <x:c r="C206" s="34"/>
      <x:c r="D206" s="34"/>
      <x:c r="E206" s="34"/>
      <x:c r="F206" s="35"/>
    </x:row>
    <x:row r="207" ht="24" customHeight="1">
      <x:c r="A207" s="36"/>
      <x:c r="B207" s="34"/>
      <x:c r="C207" s="34"/>
      <x:c r="D207" s="34"/>
      <x:c r="E207" s="34"/>
      <x:c r="F207" s="35"/>
    </x:row>
    <x:row r="208" ht="24" customHeight="1">
      <x:c r="A208" s="36"/>
      <x:c r="B208" s="34"/>
      <x:c r="C208" s="34"/>
      <x:c r="D208" s="34"/>
      <x:c r="E208" s="34"/>
      <x:c r="F208" s="35"/>
    </x:row>
    <x:row r="209" ht="24" customHeight="1">
      <x:c r="A209" s="36"/>
      <x:c r="B209" s="34"/>
      <x:c r="C209" s="34"/>
      <x:c r="D209" s="34"/>
      <x:c r="E209" s="34"/>
      <x:c r="F209" s="35"/>
    </x:row>
    <x:row r="210" ht="24" customHeight="1">
      <x:c r="A210" s="36"/>
      <x:c r="B210" s="34"/>
      <x:c r="C210" s="34"/>
      <x:c r="D210" s="34"/>
      <x:c r="E210" s="34"/>
      <x:c r="F210" s="35"/>
    </x:row>
    <x:row r="211" ht="24" customHeight="1">
      <x:c r="A211" s="36"/>
      <x:c r="B211" s="34"/>
      <x:c r="C211" s="34"/>
      <x:c r="D211" s="34"/>
      <x:c r="E211" s="34"/>
      <x:c r="F211" s="35"/>
    </x:row>
    <x:row r="212" ht="24" customHeight="1">
      <x:c r="A212" s="36"/>
      <x:c r="B212" s="34"/>
      <x:c r="C212" s="34"/>
      <x:c r="D212" s="34"/>
      <x:c r="E212" s="34"/>
      <x:c r="F212" s="35"/>
    </x:row>
    <x:row r="213" ht="24" customHeight="1">
      <x:c r="A213" s="36"/>
      <x:c r="B213" s="34"/>
      <x:c r="C213" s="34"/>
      <x:c r="D213" s="34"/>
      <x:c r="E213" s="34"/>
      <x:c r="F213" s="35"/>
    </x:row>
    <x:row r="214" ht="24" customHeight="1">
      <x:c r="A214" s="36"/>
      <x:c r="B214" s="34"/>
      <x:c r="C214" s="34"/>
      <x:c r="D214" s="34"/>
      <x:c r="E214" s="34"/>
      <x:c r="F214" s="35"/>
    </x:row>
    <x:row r="215" ht="24" customHeight="1">
      <x:c r="A215" s="36"/>
      <x:c r="B215" s="34"/>
      <x:c r="C215" s="34"/>
      <x:c r="D215" s="34"/>
      <x:c r="E215" s="34"/>
      <x:c r="F215" s="35"/>
    </x:row>
    <x:row r="216" ht="24" customHeight="1">
      <x:c r="A216" s="36"/>
      <x:c r="B216" s="34"/>
      <x:c r="C216" s="34"/>
      <x:c r="D216" s="34"/>
      <x:c r="E216" s="34"/>
      <x:c r="F216" s="35"/>
    </x:row>
    <x:row r="217" ht="24" customHeight="1">
      <x:c r="A217" s="36"/>
      <x:c r="B217" s="34"/>
      <x:c r="C217" s="34"/>
      <x:c r="D217" s="34"/>
      <x:c r="E217" s="34"/>
      <x:c r="F217" s="35"/>
    </x:row>
    <x:row r="218" ht="24" customHeight="1">
      <x:c r="A218" s="36"/>
      <x:c r="B218" s="34"/>
      <x:c r="C218" s="34"/>
      <x:c r="D218" s="34"/>
      <x:c r="E218" s="34"/>
      <x:c r="F218" s="35"/>
    </x:row>
    <x:row r="219" ht="24" customHeight="1">
      <x:c r="A219" s="36"/>
      <x:c r="B219" s="34"/>
      <x:c r="C219" s="34"/>
      <x:c r="D219" s="34"/>
      <x:c r="E219" s="34"/>
      <x:c r="F219" s="35"/>
    </x:row>
    <x:row r="220" ht="24" customHeight="1">
      <x:c r="A220" s="36"/>
      <x:c r="B220" s="34"/>
      <x:c r="C220" s="34"/>
      <x:c r="D220" s="34"/>
      <x:c r="E220" s="34"/>
      <x:c r="F220" s="35"/>
    </x:row>
    <x:row r="221" ht="24" customHeight="1">
      <x:c r="A221" s="36"/>
      <x:c r="B221" s="34"/>
      <x:c r="C221" s="34"/>
      <x:c r="D221" s="34"/>
      <x:c r="E221" s="34"/>
      <x:c r="F221" s="35"/>
    </x:row>
    <x:row r="222" ht="24" customHeight="1">
      <x:c r="A222" s="36"/>
      <x:c r="B222" s="34"/>
      <x:c r="C222" s="34"/>
      <x:c r="D222" s="34"/>
      <x:c r="E222" s="34"/>
      <x:c r="F222" s="35"/>
    </x:row>
    <x:row r="223" ht="24" customHeight="1">
      <x:c r="A223" s="36"/>
      <x:c r="B223" s="34"/>
      <x:c r="C223" s="34"/>
      <x:c r="D223" s="34"/>
      <x:c r="E223" s="34"/>
      <x:c r="F223" s="35"/>
    </x:row>
    <x:row r="224" ht="24" customHeight="1">
      <x:c r="A224" s="36"/>
      <x:c r="B224" s="34"/>
      <x:c r="C224" s="34"/>
      <x:c r="D224" s="34"/>
      <x:c r="E224" s="34"/>
      <x:c r="F224" s="35"/>
    </x:row>
    <x:row r="225" ht="24" customHeight="1">
      <x:c r="A225" s="36"/>
      <x:c r="B225" s="34"/>
      <x:c r="C225" s="34"/>
      <x:c r="D225" s="34"/>
      <x:c r="E225" s="34"/>
      <x:c r="F225" s="35"/>
    </x:row>
    <x:row r="226" ht="24" customHeight="1">
      <x:c r="A226" s="36"/>
      <x:c r="B226" s="34"/>
      <x:c r="C226" s="34"/>
      <x:c r="D226" s="34"/>
      <x:c r="E226" s="34"/>
      <x:c r="F226" s="35"/>
    </x:row>
    <x:row r="227" ht="24" customHeight="1">
      <x:c r="A227" s="36"/>
      <x:c r="B227" s="34"/>
      <x:c r="C227" s="34"/>
      <x:c r="D227" s="34"/>
      <x:c r="E227" s="34"/>
      <x:c r="F227" s="35"/>
    </x:row>
    <x:row r="228" ht="24" customHeight="1">
      <x:c r="A228" s="36"/>
      <x:c r="B228" s="34"/>
      <x:c r="C228" s="34"/>
      <x:c r="D228" s="34"/>
      <x:c r="E228" s="34"/>
      <x:c r="F228" s="35"/>
    </x:row>
    <x:row r="229" ht="24" customHeight="1">
      <x:c r="A229" s="36"/>
      <x:c r="B229" s="34"/>
      <x:c r="C229" s="34"/>
      <x:c r="D229" s="34"/>
      <x:c r="E229" s="34"/>
      <x:c r="F229" s="35"/>
    </x:row>
    <x:row r="230" ht="24" customHeight="1">
      <x:c r="A230" s="36"/>
      <x:c r="B230" s="34"/>
      <x:c r="C230" s="34"/>
      <x:c r="D230" s="34"/>
      <x:c r="E230" s="34"/>
      <x:c r="F230" s="35"/>
    </x:row>
    <x:row r="231" ht="24" customHeight="1">
      <x:c r="A231" s="36"/>
      <x:c r="B231" s="34"/>
      <x:c r="C231" s="34"/>
      <x:c r="D231" s="34"/>
      <x:c r="E231" s="34"/>
      <x:c r="F231" s="35"/>
    </x:row>
    <x:row r="232" ht="24" customHeight="1">
      <x:c r="A232" s="36"/>
      <x:c r="B232" s="34"/>
      <x:c r="C232" s="34"/>
      <x:c r="D232" s="34"/>
      <x:c r="E232" s="34"/>
      <x:c r="F232" s="35"/>
    </x:row>
    <x:row r="233" ht="24" customHeight="1">
      <x:c r="A233" s="36"/>
      <x:c r="B233" s="34"/>
      <x:c r="C233" s="34"/>
      <x:c r="D233" s="34"/>
      <x:c r="E233" s="34"/>
      <x:c r="F233" s="35"/>
    </x:row>
    <x:row r="234" ht="24" customHeight="1">
      <x:c r="A234" s="36"/>
      <x:c r="B234" s="34"/>
      <x:c r="C234" s="34"/>
      <x:c r="D234" s="34"/>
      <x:c r="E234" s="34"/>
      <x:c r="F234" s="35"/>
    </x:row>
    <x:row r="235" ht="24" customHeight="1">
      <x:c r="A235" s="36"/>
      <x:c r="B235" s="34"/>
      <x:c r="C235" s="34"/>
      <x:c r="D235" s="34"/>
      <x:c r="E235" s="34"/>
      <x:c r="F235" s="35"/>
    </x:row>
    <x:row r="236" ht="24" customHeight="1">
      <x:c r="A236" s="36"/>
      <x:c r="B236" s="34"/>
      <x:c r="C236" s="34"/>
      <x:c r="D236" s="34"/>
      <x:c r="E236" s="34"/>
      <x:c r="F236" s="35"/>
    </x:row>
    <x:row r="237" ht="24" customHeight="1">
      <x:c r="A237" s="36"/>
      <x:c r="B237" s="34"/>
      <x:c r="C237" s="34"/>
      <x:c r="D237" s="34"/>
      <x:c r="E237" s="34"/>
      <x:c r="F237" s="35"/>
    </x:row>
    <x:row r="238" ht="24" customHeight="1">
      <x:c r="A238" s="36"/>
      <x:c r="B238" s="34"/>
      <x:c r="C238" s="34"/>
      <x:c r="D238" s="34"/>
      <x:c r="E238" s="34"/>
      <x:c r="F238" s="35"/>
    </x:row>
    <x:row r="239" ht="24" customHeight="1">
      <x:c r="A239" s="36"/>
      <x:c r="B239" s="34"/>
      <x:c r="C239" s="34"/>
      <x:c r="D239" s="34"/>
      <x:c r="E239" s="34"/>
      <x:c r="F239" s="35"/>
    </x:row>
    <x:row r="240" ht="24" customHeight="1">
      <x:c r="A240" s="36"/>
      <x:c r="B240" s="34"/>
      <x:c r="C240" s="34"/>
      <x:c r="D240" s="34"/>
      <x:c r="E240" s="34"/>
      <x:c r="F240" s="35"/>
    </x:row>
    <x:row r="241" ht="24" customHeight="1">
      <x:c r="A241" s="36"/>
      <x:c r="B241" s="34"/>
      <x:c r="C241" s="34"/>
      <x:c r="D241" s="34"/>
      <x:c r="E241" s="34"/>
      <x:c r="F241" s="35"/>
    </x:row>
    <x:row r="242" ht="24" customHeight="1">
      <x:c r="A242" s="36"/>
      <x:c r="B242" s="34"/>
      <x:c r="C242" s="34"/>
      <x:c r="D242" s="34"/>
      <x:c r="E242" s="34"/>
      <x:c r="F242" s="35"/>
    </x:row>
    <x:row r="243" ht="24" customHeight="1">
      <x:c r="A243" s="36"/>
      <x:c r="B243" s="34"/>
      <x:c r="C243" s="34"/>
      <x:c r="D243" s="34"/>
      <x:c r="E243" s="34"/>
      <x:c r="F243" s="35"/>
    </x:row>
    <x:row r="244" ht="24" customHeight="1">
      <x:c r="A244" s="36"/>
      <x:c r="B244" s="34"/>
      <x:c r="C244" s="34"/>
      <x:c r="D244" s="34"/>
      <x:c r="E244" s="34"/>
      <x:c r="F244" s="35"/>
    </x:row>
    <x:row r="245" ht="24" customHeight="1">
      <x:c r="A245" s="36"/>
      <x:c r="B245" s="34"/>
      <x:c r="C245" s="34"/>
      <x:c r="D245" s="34"/>
      <x:c r="E245" s="34"/>
      <x:c r="F245" s="35"/>
    </x:row>
    <x:row r="246" ht="24" customHeight="1">
      <x:c r="A246" s="36"/>
      <x:c r="B246" s="34"/>
      <x:c r="C246" s="34"/>
      <x:c r="D246" s="34"/>
      <x:c r="E246" s="34"/>
      <x:c r="F246" s="35"/>
    </x:row>
    <x:row r="247" ht="24" customHeight="1">
      <x:c r="A247" s="36"/>
      <x:c r="B247" s="34"/>
      <x:c r="C247" s="34"/>
      <x:c r="D247" s="34"/>
      <x:c r="E247" s="34"/>
      <x:c r="F247" s="35"/>
    </x:row>
    <x:row r="248" ht="24" customHeight="1">
      <x:c r="A248" s="36"/>
      <x:c r="B248" s="34"/>
      <x:c r="C248" s="34"/>
      <x:c r="D248" s="34"/>
      <x:c r="E248" s="34"/>
      <x:c r="F248" s="35"/>
    </x:row>
    <x:row r="249" ht="24" customHeight="1">
      <x:c r="A249" s="36"/>
      <x:c r="B249" s="34"/>
      <x:c r="C249" s="34"/>
      <x:c r="D249" s="34"/>
      <x:c r="E249" s="34"/>
      <x:c r="F249" s="35"/>
    </x:row>
    <x:row r="250" ht="24" customHeight="1">
      <x:c r="A250" s="36"/>
      <x:c r="B250" s="34"/>
      <x:c r="C250" s="34"/>
      <x:c r="D250" s="34"/>
      <x:c r="E250" s="34"/>
      <x:c r="F250" s="35"/>
    </x:row>
    <x:row r="251" ht="24" customHeight="1">
      <x:c r="A251" s="36"/>
      <x:c r="B251" s="34"/>
      <x:c r="C251" s="34"/>
      <x:c r="D251" s="34"/>
      <x:c r="E251" s="34"/>
      <x:c r="F251" s="35"/>
    </x:row>
    <x:row r="252" ht="24" customHeight="1">
      <x:c r="A252" s="36"/>
      <x:c r="B252" s="34"/>
      <x:c r="C252" s="34"/>
      <x:c r="D252" s="34"/>
      <x:c r="E252" s="34"/>
      <x:c r="F252" s="35"/>
    </x:row>
    <x:row r="253" ht="24" customHeight="1">
      <x:c r="A253" s="36"/>
      <x:c r="B253" s="34"/>
      <x:c r="C253" s="34"/>
      <x:c r="D253" s="34"/>
      <x:c r="E253" s="34"/>
      <x:c r="F253" s="35"/>
    </x:row>
    <x:row r="254" ht="24" customHeight="1">
      <x:c r="A254" s="36"/>
      <x:c r="B254" s="34"/>
      <x:c r="C254" s="34"/>
      <x:c r="D254" s="34"/>
      <x:c r="E254" s="34"/>
      <x:c r="F254" s="35"/>
    </x:row>
    <x:row r="255" ht="24" customHeight="1">
      <x:c r="A255" s="36"/>
      <x:c r="B255" s="34"/>
      <x:c r="C255" s="34"/>
      <x:c r="D255" s="34"/>
      <x:c r="E255" s="34"/>
      <x:c r="F255" s="35"/>
    </x:row>
    <x:row r="256" ht="24" customHeight="1">
      <x:c r="A256" s="36"/>
      <x:c r="B256" s="34"/>
      <x:c r="C256" s="34"/>
      <x:c r="D256" s="34"/>
      <x:c r="E256" s="34"/>
      <x:c r="F256" s="35"/>
    </x:row>
    <x:row r="257" ht="24" customHeight="1">
      <x:c r="A257" s="36"/>
      <x:c r="B257" s="34"/>
      <x:c r="C257" s="34"/>
      <x:c r="D257" s="34"/>
      <x:c r="E257" s="34"/>
      <x:c r="F257" s="35"/>
    </x:row>
    <x:row r="258" ht="24" customHeight="1">
      <x:c r="A258" s="36"/>
      <x:c r="B258" s="34"/>
      <x:c r="C258" s="34"/>
      <x:c r="D258" s="34"/>
      <x:c r="E258" s="34"/>
      <x:c r="F258" s="35"/>
    </x:row>
    <x:row r="259" ht="24" customHeight="1">
      <x:c r="A259" s="36"/>
      <x:c r="B259" s="34"/>
      <x:c r="C259" s="34"/>
      <x:c r="D259" s="34"/>
      <x:c r="E259" s="34"/>
      <x:c r="F259" s="35"/>
    </x:row>
    <x:row r="260" ht="24" customHeight="1">
      <x:c r="A260" s="36"/>
      <x:c r="B260" s="34"/>
      <x:c r="C260" s="34"/>
      <x:c r="D260" s="34"/>
      <x:c r="E260" s="34"/>
      <x:c r="F260" s="35"/>
    </x:row>
    <x:row r="261" ht="24" customHeight="1">
      <x:c r="A261" s="36"/>
      <x:c r="B261" s="34"/>
      <x:c r="C261" s="34"/>
      <x:c r="D261" s="34"/>
      <x:c r="E261" s="34"/>
      <x:c r="F261" s="35"/>
    </x:row>
    <x:row r="262" ht="24" customHeight="1">
      <x:c r="A262" s="36"/>
      <x:c r="B262" s="34"/>
      <x:c r="C262" s="34"/>
      <x:c r="D262" s="34"/>
      <x:c r="E262" s="34"/>
      <x:c r="F262" s="35"/>
    </x:row>
    <x:row r="263" ht="24" customHeight="1">
      <x:c r="A263" s="36"/>
      <x:c r="B263" s="34"/>
      <x:c r="C263" s="34"/>
      <x:c r="D263" s="34"/>
      <x:c r="E263" s="34"/>
      <x:c r="F263" s="35"/>
    </x:row>
    <x:row r="264" ht="24" customHeight="1">
      <x:c r="A264" s="36"/>
      <x:c r="B264" s="34"/>
      <x:c r="C264" s="34"/>
      <x:c r="D264" s="34"/>
      <x:c r="E264" s="34"/>
      <x:c r="F264" s="35"/>
    </x:row>
    <x:row r="265" ht="24" customHeight="1">
      <x:c r="A265" s="36"/>
      <x:c r="B265" s="34"/>
      <x:c r="C265" s="34"/>
      <x:c r="D265" s="34"/>
      <x:c r="E265" s="34"/>
      <x:c r="F265" s="35"/>
    </x:row>
    <x:row r="266" ht="24" customHeight="1">
      <x:c r="A266" s="36"/>
      <x:c r="B266" s="34"/>
      <x:c r="C266" s="34"/>
      <x:c r="D266" s="34"/>
      <x:c r="E266" s="34"/>
      <x:c r="F266" s="35"/>
    </x:row>
    <x:row r="267" ht="24" customHeight="1">
      <x:c r="A267" s="36"/>
      <x:c r="B267" s="34"/>
      <x:c r="C267" s="34"/>
      <x:c r="D267" s="34"/>
      <x:c r="E267" s="34"/>
      <x:c r="F267" s="35"/>
    </x:row>
    <x:row r="268" ht="24" customHeight="1">
      <x:c r="A268" s="36"/>
      <x:c r="B268" s="34"/>
      <x:c r="C268" s="34"/>
      <x:c r="D268" s="34"/>
      <x:c r="E268" s="34"/>
      <x:c r="F268" s="35"/>
    </x:row>
    <x:row r="269" ht="24" customHeight="1">
      <x:c r="A269" s="36"/>
      <x:c r="B269" s="34"/>
      <x:c r="C269" s="34"/>
      <x:c r="D269" s="34"/>
      <x:c r="E269" s="34"/>
      <x:c r="F269" s="35"/>
    </x:row>
    <x:row r="270" ht="24" customHeight="1">
      <x:c r="A270" s="36"/>
      <x:c r="B270" s="34"/>
      <x:c r="C270" s="34"/>
      <x:c r="D270" s="34"/>
      <x:c r="E270" s="34"/>
      <x:c r="F270" s="35"/>
    </x:row>
    <x:row r="271" ht="24" customHeight="1">
      <x:c r="A271" s="36"/>
      <x:c r="B271" s="34"/>
      <x:c r="C271" s="34"/>
      <x:c r="D271" s="34"/>
      <x:c r="E271" s="34"/>
      <x:c r="F271" s="35"/>
    </x:row>
    <x:row r="272" ht="24" customHeight="1">
      <x:c r="A272" s="36"/>
      <x:c r="B272" s="34"/>
      <x:c r="C272" s="34"/>
      <x:c r="D272" s="34"/>
      <x:c r="E272" s="34"/>
      <x:c r="F272" s="35"/>
    </x:row>
    <x:row r="273" ht="24" customHeight="1">
      <x:c r="A273" s="36"/>
      <x:c r="B273" s="34"/>
      <x:c r="C273" s="34"/>
      <x:c r="D273" s="34"/>
      <x:c r="E273" s="34"/>
      <x:c r="F273" s="35"/>
    </x:row>
    <x:row r="274" ht="24" customHeight="1">
      <x:c r="A274" s="36"/>
      <x:c r="B274" s="34"/>
      <x:c r="C274" s="34"/>
      <x:c r="D274" s="34"/>
      <x:c r="E274" s="34"/>
      <x:c r="F274" s="35"/>
    </x:row>
    <x:row r="275" ht="24" customHeight="1">
      <x:c r="A275" s="36"/>
      <x:c r="B275" s="34"/>
      <x:c r="C275" s="34"/>
      <x:c r="D275" s="34"/>
      <x:c r="E275" s="34"/>
      <x:c r="F275" s="35"/>
    </x:row>
    <x:row r="276" ht="24" customHeight="1">
      <x:c r="A276" s="36"/>
      <x:c r="B276" s="34"/>
      <x:c r="C276" s="34"/>
      <x:c r="D276" s="34"/>
      <x:c r="E276" s="34"/>
      <x:c r="F276" s="35"/>
    </x:row>
    <x:row r="277" ht="24" customHeight="1">
      <x:c r="A277" s="36"/>
      <x:c r="B277" s="34"/>
      <x:c r="C277" s="34"/>
      <x:c r="D277" s="34"/>
      <x:c r="E277" s="34"/>
      <x:c r="F277" s="35"/>
    </x:row>
    <x:row r="278" ht="24" customHeight="1">
      <x:c r="A278" s="36"/>
      <x:c r="B278" s="34"/>
      <x:c r="C278" s="34"/>
      <x:c r="D278" s="34"/>
      <x:c r="E278" s="34"/>
      <x:c r="F278" s="35"/>
    </x:row>
    <x:row r="279" ht="24" customHeight="1">
      <x:c r="A279" s="36"/>
      <x:c r="B279" s="34"/>
      <x:c r="C279" s="34"/>
      <x:c r="D279" s="34"/>
      <x:c r="E279" s="34"/>
      <x:c r="F279" s="35"/>
    </x:row>
    <x:row r="280" ht="24" customHeight="1">
      <x:c r="A280" s="36"/>
      <x:c r="B280" s="34"/>
      <x:c r="C280" s="34"/>
      <x:c r="D280" s="34"/>
      <x:c r="E280" s="34"/>
      <x:c r="F280" s="35"/>
    </x:row>
    <x:row r="281" ht="24" customHeight="1">
      <x:c r="A281" s="36"/>
      <x:c r="B281" s="34"/>
      <x:c r="C281" s="34"/>
      <x:c r="D281" s="34"/>
      <x:c r="E281" s="34"/>
      <x:c r="F281" s="35"/>
    </x:row>
    <x:row r="282" ht="24" customHeight="1">
      <x:c r="A282" s="36"/>
      <x:c r="B282" s="34"/>
      <x:c r="C282" s="34"/>
      <x:c r="D282" s="34"/>
      <x:c r="E282" s="34"/>
      <x:c r="F282" s="35"/>
    </x:row>
    <x:row r="283" ht="24" customHeight="1">
      <x:c r="A283" s="36"/>
      <x:c r="B283" s="34"/>
      <x:c r="C283" s="34"/>
      <x:c r="D283" s="34"/>
      <x:c r="E283" s="34"/>
      <x:c r="F283" s="35"/>
    </x:row>
    <x:row r="284" ht="24" customHeight="1">
      <x:c r="A284" s="36"/>
      <x:c r="B284" s="34"/>
      <x:c r="C284" s="34"/>
      <x:c r="D284" s="34"/>
      <x:c r="E284" s="34"/>
      <x:c r="F284" s="35"/>
    </x:row>
    <x:row r="285" ht="24" customHeight="1">
      <x:c r="A285" s="36"/>
      <x:c r="B285" s="34"/>
      <x:c r="C285" s="34"/>
      <x:c r="D285" s="34"/>
      <x:c r="E285" s="34"/>
      <x:c r="F285" s="35"/>
    </x:row>
    <x:row r="286" ht="24" customHeight="1">
      <x:c r="A286" s="36"/>
      <x:c r="B286" s="34"/>
      <x:c r="C286" s="34"/>
      <x:c r="D286" s="34"/>
      <x:c r="E286" s="34"/>
      <x:c r="F286" s="35"/>
    </x:row>
    <x:row r="287" ht="24" customHeight="1">
      <x:c r="A287" s="36"/>
      <x:c r="B287" s="34"/>
      <x:c r="C287" s="34"/>
      <x:c r="D287" s="34"/>
      <x:c r="E287" s="34"/>
      <x:c r="F287" s="35"/>
    </x:row>
    <x:row r="288" ht="24" customHeight="1">
      <x:c r="A288" s="36"/>
      <x:c r="B288" s="34"/>
      <x:c r="C288" s="34"/>
      <x:c r="D288" s="34"/>
      <x:c r="E288" s="34"/>
      <x:c r="F288" s="35"/>
    </x:row>
    <x:row r="289" ht="24" customHeight="1">
      <x:c r="A289" s="36"/>
      <x:c r="B289" s="34"/>
      <x:c r="C289" s="34"/>
      <x:c r="D289" s="34"/>
      <x:c r="E289" s="34"/>
      <x:c r="F289" s="35"/>
    </x:row>
    <x:row r="290" ht="24" customHeight="1">
      <x:c r="A290" s="36"/>
      <x:c r="B290" s="34"/>
      <x:c r="C290" s="34"/>
      <x:c r="D290" s="34"/>
      <x:c r="E290" s="34"/>
      <x:c r="F290" s="35"/>
    </x:row>
    <x:row r="291" ht="24" customHeight="1">
      <x:c r="A291" s="36"/>
      <x:c r="B291" s="34"/>
      <x:c r="C291" s="34"/>
      <x:c r="D291" s="34"/>
      <x:c r="E291" s="34"/>
      <x:c r="F291" s="35"/>
    </x:row>
    <x:row r="292" ht="24" customHeight="1">
      <x:c r="A292" s="36"/>
      <x:c r="B292" s="34"/>
      <x:c r="C292" s="34"/>
      <x:c r="D292" s="34"/>
      <x:c r="E292" s="34"/>
      <x:c r="F292" s="35"/>
    </x:row>
    <x:row r="293" ht="24" customHeight="1">
      <x:c r="A293" s="36"/>
      <x:c r="B293" s="34"/>
      <x:c r="C293" s="34"/>
      <x:c r="D293" s="34"/>
      <x:c r="E293" s="34"/>
      <x:c r="F293" s="35"/>
    </x:row>
    <x:row r="294" ht="24" customHeight="1">
      <x:c r="A294" s="36"/>
      <x:c r="B294" s="34"/>
      <x:c r="C294" s="34"/>
      <x:c r="D294" s="34"/>
      <x:c r="E294" s="34"/>
      <x:c r="F294" s="35"/>
    </x:row>
    <x:row r="295" ht="24" customHeight="1">
      <x:c r="A295" s="36"/>
      <x:c r="B295" s="34"/>
      <x:c r="C295" s="34"/>
      <x:c r="D295" s="34"/>
      <x:c r="E295" s="34"/>
      <x:c r="F295" s="35"/>
    </x:row>
    <x:row r="296" ht="24" customHeight="1">
      <x:c r="A296" s="36"/>
      <x:c r="B296" s="34"/>
      <x:c r="C296" s="34"/>
      <x:c r="D296" s="34"/>
      <x:c r="E296" s="34"/>
      <x:c r="F296" s="35"/>
    </x:row>
    <x:row r="297" ht="24" customHeight="1">
      <x:c r="A297" s="36"/>
      <x:c r="B297" s="34"/>
      <x:c r="C297" s="34"/>
      <x:c r="D297" s="34"/>
      <x:c r="E297" s="34"/>
      <x:c r="F297" s="35"/>
    </x:row>
    <x:row r="298" ht="24" customHeight="1">
      <x:c r="A298" s="36"/>
      <x:c r="B298" s="34"/>
      <x:c r="C298" s="34"/>
      <x:c r="D298" s="34"/>
      <x:c r="E298" s="34"/>
      <x:c r="F298" s="35"/>
    </x:row>
    <x:row r="299" ht="24" customHeight="1">
      <x:c r="A299" s="36"/>
      <x:c r="B299" s="34"/>
      <x:c r="C299" s="34"/>
      <x:c r="D299" s="34"/>
      <x:c r="E299" s="34"/>
      <x:c r="F299" s="35"/>
    </x:row>
    <x:row r="300" ht="24" customHeight="1">
      <x:c r="A300" s="36"/>
      <x:c r="B300" s="34"/>
      <x:c r="C300" s="34"/>
      <x:c r="D300" s="34"/>
      <x:c r="E300" s="34"/>
      <x:c r="F300" s="35"/>
    </x:row>
    <x:row r="301" ht="24" customHeight="1">
      <x:c r="A301" s="36"/>
      <x:c r="B301" s="34"/>
      <x:c r="C301" s="34"/>
      <x:c r="D301" s="34"/>
      <x:c r="E301" s="34"/>
      <x:c r="F301" s="35"/>
    </x:row>
    <x:row r="302" ht="24" customHeight="1">
      <x:c r="A302" s="36"/>
      <x:c r="B302" s="34"/>
      <x:c r="C302" s="34"/>
      <x:c r="D302" s="34"/>
      <x:c r="E302" s="34"/>
      <x:c r="F302" s="35"/>
    </x:row>
    <x:row r="303" ht="24" customHeight="1">
      <x:c r="A303" s="36"/>
      <x:c r="B303" s="34"/>
      <x:c r="C303" s="34"/>
      <x:c r="D303" s="34"/>
      <x:c r="E303" s="34"/>
      <x:c r="F303" s="35"/>
    </x:row>
    <x:row r="304" ht="24" customHeight="1">
      <x:c r="A304" s="36"/>
      <x:c r="B304" s="34"/>
      <x:c r="C304" s="34"/>
      <x:c r="D304" s="34"/>
      <x:c r="E304" s="34"/>
      <x:c r="F304" s="35"/>
    </x:row>
    <x:row r="305" ht="24" customHeight="1">
      <x:c r="A305" s="36"/>
      <x:c r="B305" s="34"/>
      <x:c r="C305" s="34"/>
      <x:c r="D305" s="34"/>
      <x:c r="E305" s="34"/>
      <x:c r="F305" s="35"/>
    </x:row>
    <x:row r="306" ht="24" customHeight="1">
      <x:c r="A306" s="36"/>
      <x:c r="B306" s="34"/>
      <x:c r="C306" s="34"/>
      <x:c r="D306" s="34"/>
      <x:c r="E306" s="34"/>
      <x:c r="F306" s="35"/>
    </x:row>
    <x:row r="307" ht="24" customHeight="1">
      <x:c r="A307" s="36"/>
      <x:c r="B307" s="34"/>
      <x:c r="C307" s="34"/>
      <x:c r="D307" s="34"/>
      <x:c r="E307" s="34"/>
      <x:c r="F307" s="35"/>
    </x:row>
    <x:row r="308" ht="24" customHeight="1">
      <x:c r="A308" s="36"/>
      <x:c r="B308" s="34"/>
      <x:c r="C308" s="34"/>
      <x:c r="D308" s="34"/>
      <x:c r="E308" s="34"/>
      <x:c r="F308" s="35"/>
    </x:row>
    <x:row r="309" ht="24" customHeight="1">
      <x:c r="A309" s="36"/>
      <x:c r="B309" s="34"/>
      <x:c r="C309" s="34"/>
      <x:c r="D309" s="34"/>
      <x:c r="E309" s="34"/>
      <x:c r="F309" s="35"/>
    </x:row>
    <x:row r="310" ht="24" customHeight="1">
      <x:c r="A310" s="36"/>
      <x:c r="B310" s="34"/>
      <x:c r="C310" s="34"/>
      <x:c r="D310" s="34"/>
      <x:c r="E310" s="34"/>
      <x:c r="F310" s="35"/>
    </x:row>
    <x:row r="311" ht="24" customHeight="1">
      <x:c r="A311" s="36"/>
      <x:c r="B311" s="34"/>
      <x:c r="C311" s="34"/>
      <x:c r="D311" s="34"/>
      <x:c r="E311" s="34"/>
      <x:c r="F311" s="35"/>
    </x:row>
    <x:row r="312" ht="24" customHeight="1">
      <x:c r="A312" s="36"/>
      <x:c r="B312" s="34"/>
      <x:c r="C312" s="34"/>
      <x:c r="D312" s="34"/>
      <x:c r="E312" s="34"/>
      <x:c r="F312" s="35"/>
    </x:row>
    <x:row r="313" ht="24" customHeight="1">
      <x:c r="A313" s="36"/>
      <x:c r="B313" s="34"/>
      <x:c r="C313" s="34"/>
      <x:c r="D313" s="34"/>
      <x:c r="E313" s="34"/>
      <x:c r="F313" s="35"/>
    </x:row>
    <x:row r="314" ht="24" customHeight="1">
      <x:c r="A314" s="36"/>
      <x:c r="B314" s="34"/>
      <x:c r="C314" s="34"/>
      <x:c r="D314" s="34"/>
      <x:c r="E314" s="34"/>
      <x:c r="F314" s="35"/>
    </x:row>
    <x:row r="315" ht="24" customHeight="1">
      <x:c r="A315" s="36"/>
      <x:c r="B315" s="34"/>
      <x:c r="C315" s="34"/>
      <x:c r="D315" s="34"/>
      <x:c r="E315" s="34"/>
      <x:c r="F315" s="35"/>
    </x:row>
    <x:row r="316" ht="24" customHeight="1">
      <x:c r="A316" s="36"/>
      <x:c r="B316" s="34"/>
      <x:c r="C316" s="34"/>
      <x:c r="D316" s="34"/>
      <x:c r="E316" s="34"/>
      <x:c r="F316" s="35"/>
    </x:row>
    <x:row r="317" ht="24" customHeight="1">
      <x:c r="A317" s="36"/>
      <x:c r="B317" s="34"/>
      <x:c r="C317" s="34"/>
      <x:c r="D317" s="34"/>
      <x:c r="E317" s="34"/>
      <x:c r="F317" s="35"/>
    </x:row>
    <x:row r="318" ht="24" customHeight="1">
      <x:c r="A318" s="36"/>
      <x:c r="B318" s="34"/>
      <x:c r="C318" s="34"/>
      <x:c r="D318" s="34"/>
      <x:c r="E318" s="34"/>
      <x:c r="F318" s="35"/>
    </x:row>
    <x:row r="319" ht="24" customHeight="1">
      <x:c r="A319" s="36"/>
      <x:c r="B319" s="34"/>
      <x:c r="C319" s="34"/>
      <x:c r="D319" s="34"/>
      <x:c r="E319" s="34"/>
      <x:c r="F319" s="35"/>
    </x:row>
    <x:row r="320" ht="24" customHeight="1">
      <x:c r="A320" s="36"/>
      <x:c r="B320" s="34"/>
      <x:c r="C320" s="34"/>
      <x:c r="D320" s="34"/>
      <x:c r="E320" s="34"/>
      <x:c r="F320" s="35"/>
    </x:row>
    <x:row r="321" ht="24" customHeight="1">
      <x:c r="A321" s="36"/>
      <x:c r="B321" s="34"/>
      <x:c r="C321" s="34"/>
      <x:c r="D321" s="34"/>
      <x:c r="E321" s="34"/>
      <x:c r="F321" s="35"/>
    </x:row>
    <x:row r="322" ht="24" customHeight="1">
      <x:c r="A322" s="36"/>
      <x:c r="B322" s="34"/>
      <x:c r="C322" s="34"/>
      <x:c r="D322" s="34"/>
      <x:c r="E322" s="34"/>
      <x:c r="F322" s="35"/>
    </x:row>
    <x:row r="323" ht="24" customHeight="1">
      <x:c r="A323" s="36"/>
      <x:c r="B323" s="34"/>
      <x:c r="C323" s="34"/>
      <x:c r="D323" s="34"/>
      <x:c r="E323" s="34"/>
      <x:c r="F323" s="35"/>
    </x:row>
    <x:row r="324" ht="24" customHeight="1">
      <x:c r="A324" s="36"/>
      <x:c r="B324" s="34"/>
      <x:c r="C324" s="34"/>
      <x:c r="D324" s="34"/>
      <x:c r="E324" s="34"/>
      <x:c r="F324" s="35"/>
    </x:row>
    <x:row r="325" ht="24" customHeight="1">
      <x:c r="A325" s="36"/>
      <x:c r="B325" s="34"/>
      <x:c r="C325" s="34"/>
      <x:c r="D325" s="34"/>
      <x:c r="E325" s="34"/>
      <x:c r="F325" s="35"/>
    </x:row>
    <x:row r="326" ht="24" customHeight="1">
      <x:c r="A326" s="36"/>
      <x:c r="B326" s="34"/>
      <x:c r="C326" s="34"/>
      <x:c r="D326" s="34"/>
      <x:c r="E326" s="34"/>
      <x:c r="F326" s="35"/>
    </x:row>
    <x:row r="327" ht="24" customHeight="1">
      <x:c r="A327" s="36"/>
      <x:c r="B327" s="34"/>
      <x:c r="C327" s="34"/>
      <x:c r="D327" s="34"/>
      <x:c r="E327" s="34"/>
      <x:c r="F327" s="35"/>
    </x:row>
    <x:row r="328" ht="24" customHeight="1">
      <x:c r="A328" s="36"/>
      <x:c r="B328" s="34"/>
      <x:c r="C328" s="34"/>
      <x:c r="D328" s="34"/>
      <x:c r="E328" s="34"/>
      <x:c r="F328" s="35"/>
    </x:row>
    <x:row r="329" ht="24" customHeight="1">
      <x:c r="A329" s="36"/>
      <x:c r="B329" s="34"/>
      <x:c r="C329" s="34"/>
      <x:c r="D329" s="34"/>
      <x:c r="E329" s="34"/>
      <x:c r="F329" s="35"/>
    </x:row>
    <x:row r="330" ht="24" customHeight="1">
      <x:c r="A330" s="36"/>
      <x:c r="B330" s="34"/>
      <x:c r="C330" s="34"/>
      <x:c r="D330" s="34"/>
      <x:c r="E330" s="34"/>
      <x:c r="F330" s="35"/>
    </x:row>
    <x:row r="331" ht="24" customHeight="1">
      <x:c r="A331" s="36"/>
      <x:c r="B331" s="34"/>
      <x:c r="C331" s="34"/>
      <x:c r="D331" s="34"/>
      <x:c r="E331" s="34"/>
      <x:c r="F331" s="35"/>
    </x:row>
    <x:row r="332" ht="24" customHeight="1">
      <x:c r="A332" s="36"/>
      <x:c r="B332" s="34"/>
      <x:c r="C332" s="34"/>
      <x:c r="D332" s="34"/>
      <x:c r="E332" s="34"/>
      <x:c r="F332" s="35"/>
    </x:row>
    <x:row r="333" ht="24" customHeight="1">
      <x:c r="A333" s="36"/>
      <x:c r="B333" s="34"/>
      <x:c r="C333" s="34"/>
      <x:c r="D333" s="34"/>
      <x:c r="E333" s="34"/>
      <x:c r="F333" s="35"/>
    </x:row>
    <x:row r="334" ht="24" customHeight="1">
      <x:c r="A334" s="36"/>
      <x:c r="B334" s="34"/>
      <x:c r="C334" s="34"/>
      <x:c r="D334" s="34"/>
      <x:c r="E334" s="34"/>
      <x:c r="F334" s="35"/>
    </x:row>
    <x:row r="335" ht="24" customHeight="1">
      <x:c r="A335" s="36"/>
      <x:c r="B335" s="34"/>
      <x:c r="C335" s="34"/>
      <x:c r="D335" s="34"/>
      <x:c r="E335" s="34"/>
      <x:c r="F335" s="35"/>
    </x:row>
    <x:row r="336" ht="24" customHeight="1">
      <x:c r="A336" s="36"/>
      <x:c r="B336" s="34"/>
      <x:c r="C336" s="34"/>
      <x:c r="D336" s="34"/>
      <x:c r="E336" s="34"/>
      <x:c r="F336" s="35"/>
    </x:row>
    <x:row r="337" ht="24" customHeight="1">
      <x:c r="A337" s="36"/>
      <x:c r="B337" s="34"/>
      <x:c r="C337" s="34"/>
      <x:c r="D337" s="34"/>
      <x:c r="E337" s="34"/>
      <x:c r="F337" s="35"/>
    </x:row>
    <x:row r="338" ht="24" customHeight="1">
      <x:c r="A338" s="36"/>
      <x:c r="B338" s="34"/>
      <x:c r="C338" s="34"/>
      <x:c r="D338" s="34"/>
      <x:c r="E338" s="34"/>
      <x:c r="F338" s="35"/>
    </x:row>
    <x:row r="339" ht="24" customHeight="1">
      <x:c r="A339" s="36"/>
      <x:c r="B339" s="34"/>
      <x:c r="C339" s="34"/>
      <x:c r="D339" s="34"/>
      <x:c r="E339" s="34"/>
      <x:c r="F339" s="35"/>
    </x:row>
    <x:row r="340" ht="24" customHeight="1">
      <x:c r="A340" s="36"/>
      <x:c r="B340" s="34"/>
      <x:c r="C340" s="34"/>
      <x:c r="D340" s="34"/>
      <x:c r="E340" s="34"/>
      <x:c r="F340" s="35"/>
    </x:row>
    <x:row r="341" ht="24" customHeight="1">
      <x:c r="A341" s="36"/>
      <x:c r="B341" s="34"/>
      <x:c r="C341" s="34"/>
      <x:c r="D341" s="34"/>
      <x:c r="E341" s="34"/>
      <x:c r="F341" s="35"/>
    </x:row>
    <x:row r="342" ht="24" customHeight="1">
      <x:c r="A342" s="36"/>
      <x:c r="B342" s="34"/>
      <x:c r="C342" s="34"/>
      <x:c r="D342" s="34"/>
      <x:c r="E342" s="34"/>
      <x:c r="F342" s="35"/>
    </x:row>
    <x:row r="343" ht="24" customHeight="1">
      <x:c r="A343" s="36"/>
      <x:c r="B343" s="34"/>
      <x:c r="C343" s="34"/>
      <x:c r="D343" s="34"/>
      <x:c r="E343" s="34"/>
      <x:c r="F343" s="35"/>
    </x:row>
    <x:row r="344" ht="24" customHeight="1">
      <x:c r="A344" s="36"/>
      <x:c r="B344" s="34"/>
      <x:c r="C344" s="34"/>
      <x:c r="D344" s="34"/>
      <x:c r="E344" s="34"/>
      <x:c r="F344" s="35"/>
    </x:row>
    <x:row r="345" ht="24" customHeight="1">
      <x:c r="A345" s="36"/>
      <x:c r="B345" s="34"/>
      <x:c r="C345" s="34"/>
      <x:c r="D345" s="34"/>
      <x:c r="E345" s="34"/>
      <x:c r="F345" s="35"/>
    </x:row>
    <x:row r="346" ht="24" customHeight="1">
      <x:c r="A346" s="36"/>
      <x:c r="B346" s="34"/>
      <x:c r="C346" s="34"/>
      <x:c r="D346" s="34"/>
      <x:c r="E346" s="34"/>
      <x:c r="F346" s="35"/>
    </x:row>
    <x:row r="347" ht="24" customHeight="1">
      <x:c r="A347" s="36"/>
      <x:c r="B347" s="34"/>
      <x:c r="C347" s="34"/>
      <x:c r="D347" s="34"/>
      <x:c r="E347" s="34"/>
      <x:c r="F347" s="35"/>
    </x:row>
    <x:row r="348" ht="24" customHeight="1">
      <x:c r="A348" s="36"/>
      <x:c r="B348" s="34"/>
      <x:c r="C348" s="34"/>
      <x:c r="D348" s="34"/>
      <x:c r="E348" s="34"/>
      <x:c r="F348" s="35"/>
    </x:row>
    <x:row r="349" ht="24" customHeight="1">
      <x:c r="A349" s="36"/>
      <x:c r="B349" s="34"/>
      <x:c r="C349" s="34"/>
      <x:c r="D349" s="34"/>
      <x:c r="E349" s="34"/>
      <x:c r="F349" s="35"/>
    </x:row>
    <x:row r="350" ht="24" customHeight="1">
      <x:c r="A350" s="36"/>
      <x:c r="B350" s="34"/>
      <x:c r="C350" s="34"/>
      <x:c r="D350" s="34"/>
      <x:c r="E350" s="34"/>
      <x:c r="F350" s="35"/>
    </x:row>
    <x:row r="351" ht="24" customHeight="1">
      <x:c r="A351" s="36"/>
      <x:c r="B351" s="34"/>
      <x:c r="C351" s="34"/>
      <x:c r="D351" s="34"/>
      <x:c r="E351" s="34"/>
      <x:c r="F351" s="35"/>
    </x:row>
    <x:row r="352" ht="24" customHeight="1">
      <x:c r="A352" s="36"/>
      <x:c r="B352" s="34"/>
      <x:c r="C352" s="34"/>
      <x:c r="D352" s="34"/>
      <x:c r="E352" s="34"/>
      <x:c r="F352" s="35"/>
    </x:row>
    <x:row r="353" ht="24" customHeight="1">
      <x:c r="A353" s="36"/>
      <x:c r="B353" s="34"/>
      <x:c r="C353" s="34"/>
      <x:c r="D353" s="34"/>
      <x:c r="E353" s="34"/>
      <x:c r="F353" s="35"/>
    </x:row>
    <x:row r="354" ht="24" customHeight="1">
      <x:c r="A354" s="36"/>
      <x:c r="B354" s="34"/>
      <x:c r="C354" s="34"/>
      <x:c r="D354" s="34"/>
      <x:c r="E354" s="34"/>
      <x:c r="F354" s="35"/>
    </x:row>
    <x:row r="355" ht="24" customHeight="1">
      <x:c r="A355" s="36"/>
      <x:c r="B355" s="34"/>
      <x:c r="C355" s="34"/>
      <x:c r="D355" s="34"/>
      <x:c r="E355" s="34"/>
      <x:c r="F355" s="35"/>
    </x:row>
    <x:row r="356" ht="24" customHeight="1">
      <x:c r="A356" s="36"/>
      <x:c r="B356" s="34"/>
      <x:c r="C356" s="34"/>
      <x:c r="D356" s="34"/>
      <x:c r="E356" s="34"/>
      <x:c r="F356" s="35"/>
    </x:row>
    <x:row r="357" ht="24" customHeight="1">
      <x:c r="A357" s="36"/>
      <x:c r="B357" s="34"/>
      <x:c r="C357" s="34"/>
      <x:c r="D357" s="34"/>
      <x:c r="E357" s="34"/>
      <x:c r="F357" s="35"/>
    </x:row>
    <x:row r="358" ht="24" customHeight="1">
      <x:c r="A358" s="36"/>
      <x:c r="B358" s="34"/>
      <x:c r="C358" s="34"/>
      <x:c r="D358" s="34"/>
      <x:c r="E358" s="34"/>
      <x:c r="F358" s="35"/>
    </x:row>
    <x:row r="359" ht="24" customHeight="1">
      <x:c r="A359" s="36"/>
      <x:c r="B359" s="34"/>
      <x:c r="C359" s="34"/>
      <x:c r="D359" s="34"/>
      <x:c r="E359" s="34"/>
      <x:c r="F359" s="35"/>
    </x:row>
    <x:row r="360" ht="24" customHeight="1">
      <x:c r="A360" s="36"/>
      <x:c r="B360" s="34"/>
      <x:c r="C360" s="34"/>
      <x:c r="D360" s="34"/>
      <x:c r="E360" s="34"/>
      <x:c r="F360" s="35"/>
    </x:row>
    <x:row r="361" ht="24" customHeight="1">
      <x:c r="A361" s="36"/>
      <x:c r="B361" s="34"/>
      <x:c r="C361" s="34"/>
      <x:c r="D361" s="34"/>
      <x:c r="E361" s="34"/>
      <x:c r="F361" s="35"/>
    </x:row>
    <x:row r="362" ht="24" customHeight="1">
      <x:c r="A362" s="36"/>
      <x:c r="B362" s="34"/>
      <x:c r="C362" s="34"/>
      <x:c r="D362" s="34"/>
      <x:c r="E362" s="34"/>
      <x:c r="F362" s="35"/>
    </x:row>
    <x:row r="363" ht="24" customHeight="1">
      <x:c r="A363" s="36"/>
      <x:c r="B363" s="34"/>
      <x:c r="C363" s="34"/>
      <x:c r="D363" s="34"/>
      <x:c r="E363" s="34"/>
      <x:c r="F363" s="35"/>
    </x:row>
    <x:row r="364" ht="24" customHeight="1">
      <x:c r="A364" s="36"/>
      <x:c r="B364" s="34"/>
      <x:c r="C364" s="34"/>
      <x:c r="D364" s="34"/>
      <x:c r="E364" s="34"/>
      <x:c r="F364" s="35"/>
    </x:row>
    <x:row r="365" ht="24" customHeight="1">
      <x:c r="A365" s="36"/>
      <x:c r="B365" s="34"/>
      <x:c r="C365" s="34"/>
      <x:c r="D365" s="34"/>
      <x:c r="E365" s="34"/>
      <x:c r="F365" s="35"/>
    </x:row>
    <x:row r="366" ht="24" customHeight="1">
      <x:c r="A366" s="36"/>
      <x:c r="B366" s="34"/>
      <x:c r="C366" s="34"/>
      <x:c r="D366" s="34"/>
      <x:c r="E366" s="34"/>
      <x:c r="F366" s="35"/>
    </x:row>
    <x:row r="367" ht="24" customHeight="1">
      <x:c r="A367" s="36"/>
      <x:c r="B367" s="34"/>
      <x:c r="C367" s="34"/>
      <x:c r="D367" s="34"/>
      <x:c r="E367" s="34"/>
      <x:c r="F367" s="35"/>
    </x:row>
    <x:row r="368" ht="24" customHeight="1">
      <x:c r="A368" s="36"/>
      <x:c r="B368" s="34"/>
      <x:c r="C368" s="34"/>
      <x:c r="D368" s="34"/>
      <x:c r="E368" s="34"/>
      <x:c r="F368" s="35"/>
    </x:row>
    <x:row r="369" ht="24" customHeight="1">
      <x:c r="A369" s="36"/>
      <x:c r="B369" s="34"/>
      <x:c r="C369" s="34"/>
      <x:c r="D369" s="34"/>
      <x:c r="E369" s="34"/>
      <x:c r="F369" s="35"/>
    </x:row>
    <x:row r="370" ht="24" customHeight="1">
      <x:c r="A370" s="36"/>
      <x:c r="B370" s="34"/>
      <x:c r="C370" s="34"/>
      <x:c r="D370" s="34"/>
      <x:c r="E370" s="34"/>
      <x:c r="F370" s="35"/>
    </x:row>
    <x:row r="371" ht="24" customHeight="1">
      <x:c r="A371" s="36"/>
      <x:c r="B371" s="34"/>
      <x:c r="C371" s="34"/>
      <x:c r="D371" s="34"/>
      <x:c r="E371" s="34"/>
      <x:c r="F371" s="35"/>
    </x:row>
    <x:row r="372" ht="24" customHeight="1">
      <x:c r="A372" s="36"/>
      <x:c r="B372" s="34"/>
      <x:c r="C372" s="34"/>
      <x:c r="D372" s="34"/>
      <x:c r="E372" s="34"/>
      <x:c r="F372" s="35"/>
    </x:row>
    <x:row r="373" ht="24" customHeight="1">
      <x:c r="A373" s="36"/>
      <x:c r="B373" s="34"/>
      <x:c r="C373" s="34"/>
      <x:c r="D373" s="34"/>
      <x:c r="E373" s="34"/>
      <x:c r="F373" s="35"/>
    </x:row>
    <x:row r="374" ht="24" customHeight="1">
      <x:c r="A374" s="36"/>
      <x:c r="B374" s="34"/>
      <x:c r="C374" s="34"/>
      <x:c r="D374" s="34"/>
      <x:c r="E374" s="34"/>
      <x:c r="F374" s="35"/>
    </x:row>
    <x:row r="375" ht="24" customHeight="1">
      <x:c r="A375" s="36"/>
      <x:c r="B375" s="34"/>
      <x:c r="C375" s="34"/>
      <x:c r="D375" s="34"/>
      <x:c r="E375" s="34"/>
      <x:c r="F375" s="35"/>
    </x:row>
    <x:row r="376" ht="24" customHeight="1">
      <x:c r="A376" s="36"/>
      <x:c r="B376" s="34"/>
      <x:c r="C376" s="34"/>
      <x:c r="D376" s="34"/>
      <x:c r="E376" s="34"/>
      <x:c r="F376" s="35"/>
    </x:row>
    <x:row r="377" ht="24" customHeight="1">
      <x:c r="A377" s="36"/>
      <x:c r="B377" s="34"/>
      <x:c r="C377" s="34"/>
      <x:c r="D377" s="34"/>
      <x:c r="E377" s="34"/>
      <x:c r="F377" s="35"/>
    </x:row>
    <x:row r="378" ht="24" customHeight="1">
      <x:c r="A378" s="36"/>
      <x:c r="B378" s="34"/>
      <x:c r="C378" s="34"/>
      <x:c r="D378" s="34"/>
      <x:c r="E378" s="34"/>
      <x:c r="F378" s="35"/>
    </x:row>
    <x:row r="379" ht="24" customHeight="1">
      <x:c r="A379" s="36"/>
      <x:c r="B379" s="34"/>
      <x:c r="C379" s="34"/>
      <x:c r="D379" s="34"/>
      <x:c r="E379" s="34"/>
      <x:c r="F379" s="35"/>
    </x:row>
    <x:row r="380" ht="24" customHeight="1">
      <x:c r="A380" s="36"/>
      <x:c r="B380" s="34"/>
      <x:c r="C380" s="34"/>
      <x:c r="D380" s="34"/>
      <x:c r="E380" s="34"/>
      <x:c r="F380" s="35"/>
    </x:row>
    <x:row r="381" ht="24" customHeight="1">
      <x:c r="A381" s="36"/>
      <x:c r="B381" s="34"/>
      <x:c r="C381" s="34"/>
      <x:c r="D381" s="34"/>
      <x:c r="E381" s="34"/>
      <x:c r="F381" s="35"/>
    </x:row>
    <x:row r="382" ht="24" customHeight="1">
      <x:c r="A382" s="36"/>
      <x:c r="B382" s="34"/>
      <x:c r="C382" s="34"/>
      <x:c r="D382" s="34"/>
      <x:c r="E382" s="34"/>
      <x:c r="F382" s="35"/>
    </x:row>
    <x:row r="383" ht="24" customHeight="1">
      <x:c r="A383" s="36"/>
      <x:c r="B383" s="34"/>
      <x:c r="C383" s="34"/>
      <x:c r="D383" s="34"/>
      <x:c r="E383" s="34"/>
      <x:c r="F383" s="35"/>
    </x:row>
    <x:row r="384" ht="24" customHeight="1">
      <x:c r="A384" s="36"/>
      <x:c r="B384" s="34"/>
      <x:c r="C384" s="34"/>
      <x:c r="D384" s="34"/>
      <x:c r="E384" s="34"/>
      <x:c r="F384" s="35"/>
    </x:row>
    <x:row r="385" ht="24" customHeight="1">
      <x:c r="A385" s="36"/>
      <x:c r="B385" s="34"/>
      <x:c r="C385" s="34"/>
      <x:c r="D385" s="34"/>
      <x:c r="E385" s="34"/>
      <x:c r="F385" s="35"/>
    </x:row>
    <x:row r="386" ht="24" customHeight="1">
      <x:c r="A386" s="36"/>
      <x:c r="B386" s="34"/>
      <x:c r="C386" s="34"/>
      <x:c r="D386" s="34"/>
      <x:c r="E386" s="34"/>
      <x:c r="F386" s="35"/>
    </x:row>
    <x:row r="387" ht="24" customHeight="1">
      <x:c r="A387" s="36"/>
      <x:c r="B387" s="34"/>
      <x:c r="C387" s="34"/>
      <x:c r="D387" s="34"/>
      <x:c r="E387" s="34"/>
      <x:c r="F387" s="35"/>
    </x:row>
    <x:row r="388" ht="24" customHeight="1">
      <x:c r="A388" s="36"/>
      <x:c r="B388" s="34"/>
      <x:c r="C388" s="34"/>
      <x:c r="D388" s="34"/>
      <x:c r="E388" s="34"/>
      <x:c r="F388" s="35"/>
    </x:row>
    <x:row r="389" ht="24" customHeight="1">
      <x:c r="A389" s="36"/>
      <x:c r="B389" s="34"/>
      <x:c r="C389" s="34"/>
      <x:c r="D389" s="34"/>
      <x:c r="E389" s="34"/>
      <x:c r="F389" s="35"/>
    </x:row>
    <x:row r="390" ht="24" customHeight="1">
      <x:c r="A390" s="36"/>
      <x:c r="B390" s="34"/>
      <x:c r="C390" s="34"/>
      <x:c r="D390" s="34"/>
      <x:c r="E390" s="34"/>
      <x:c r="F390" s="35"/>
    </x:row>
    <x:row r="391" ht="24" customHeight="1">
      <x:c r="A391" s="36"/>
      <x:c r="B391" s="34"/>
      <x:c r="C391" s="34"/>
      <x:c r="D391" s="34"/>
      <x:c r="E391" s="34"/>
      <x:c r="F391" s="35"/>
    </x:row>
    <x:row r="392" ht="24" customHeight="1">
      <x:c r="A392" s="36"/>
      <x:c r="B392" s="34"/>
      <x:c r="C392" s="34"/>
      <x:c r="D392" s="34"/>
      <x:c r="E392" s="34"/>
      <x:c r="F392" s="35"/>
    </x:row>
    <x:row r="393" ht="24" customHeight="1">
      <x:c r="A393" s="36"/>
      <x:c r="B393" s="34"/>
      <x:c r="C393" s="34"/>
      <x:c r="D393" s="34"/>
      <x:c r="E393" s="34"/>
      <x:c r="F393" s="35"/>
    </x:row>
    <x:row r="394" ht="24" customHeight="1">
      <x:c r="A394" s="36"/>
      <x:c r="B394" s="34"/>
      <x:c r="C394" s="34"/>
      <x:c r="D394" s="34"/>
      <x:c r="E394" s="34"/>
      <x:c r="F394" s="35"/>
    </x:row>
    <x:row r="395" ht="24" customHeight="1">
      <x:c r="A395" s="36"/>
      <x:c r="B395" s="34"/>
      <x:c r="C395" s="34"/>
      <x:c r="D395" s="34"/>
      <x:c r="E395" s="34"/>
      <x:c r="F395" s="35"/>
    </x:row>
    <x:row r="396" ht="24" customHeight="1">
      <x:c r="A396" s="36"/>
      <x:c r="B396" s="34"/>
      <x:c r="C396" s="34"/>
      <x:c r="D396" s="34"/>
      <x:c r="E396" s="34"/>
      <x:c r="F396" s="35"/>
    </x:row>
    <x:row r="397" ht="24" customHeight="1">
      <x:c r="A397" s="36"/>
      <x:c r="B397" s="34"/>
      <x:c r="C397" s="34"/>
      <x:c r="D397" s="34"/>
      <x:c r="E397" s="34"/>
      <x:c r="F397" s="35"/>
    </x:row>
    <x:row r="398" ht="24" customHeight="1">
      <x:c r="A398" s="36"/>
      <x:c r="B398" s="34"/>
      <x:c r="C398" s="34"/>
      <x:c r="D398" s="34"/>
      <x:c r="E398" s="34"/>
      <x:c r="F398" s="35"/>
    </x:row>
    <x:row r="399" ht="24" customHeight="1">
      <x:c r="A399" s="36"/>
      <x:c r="B399" s="34"/>
      <x:c r="C399" s="34"/>
      <x:c r="D399" s="34"/>
      <x:c r="E399" s="34"/>
      <x:c r="F399" s="35"/>
    </x:row>
    <x:row r="400" ht="24" customHeight="1">
      <x:c r="A400" s="36"/>
      <x:c r="B400" s="34"/>
      <x:c r="C400" s="34"/>
      <x:c r="D400" s="34"/>
      <x:c r="E400" s="34"/>
      <x:c r="F400" s="35"/>
    </x:row>
    <x:row r="401" ht="24" customHeight="1">
      <x:c r="A401" s="36"/>
      <x:c r="B401" s="34"/>
      <x:c r="C401" s="34"/>
      <x:c r="D401" s="34"/>
      <x:c r="E401" s="34"/>
      <x:c r="F401" s="35"/>
    </x:row>
    <x:row r="402" ht="24" customHeight="1">
      <x:c r="A402" s="36"/>
      <x:c r="B402" s="34"/>
      <x:c r="C402" s="34"/>
      <x:c r="D402" s="34"/>
      <x:c r="E402" s="34"/>
      <x:c r="F402" s="35"/>
    </x:row>
    <x:row r="403" ht="24" customHeight="1">
      <x:c r="A403" s="36"/>
      <x:c r="B403" s="34"/>
      <x:c r="C403" s="34"/>
      <x:c r="D403" s="34"/>
      <x:c r="E403" s="34"/>
      <x:c r="F403" s="35"/>
    </x:row>
    <x:row r="404" ht="24" customHeight="1">
      <x:c r="A404" s="36"/>
      <x:c r="B404" s="34"/>
      <x:c r="C404" s="34"/>
      <x:c r="D404" s="34"/>
      <x:c r="E404" s="34"/>
      <x:c r="F404" s="35"/>
    </x:row>
    <x:row r="405" ht="24" customHeight="1">
      <x:c r="A405" s="36"/>
      <x:c r="B405" s="34"/>
      <x:c r="C405" s="34"/>
      <x:c r="D405" s="34"/>
      <x:c r="E405" s="34"/>
      <x:c r="F405" s="35"/>
    </x:row>
    <x:row r="406" ht="24" customHeight="1">
      <x:c r="A406" s="36"/>
      <x:c r="B406" s="34"/>
      <x:c r="C406" s="34"/>
      <x:c r="D406" s="34"/>
      <x:c r="E406" s="34"/>
      <x:c r="F406" s="35"/>
    </x:row>
    <x:row r="407" ht="24" customHeight="1">
      <x:c r="A407" s="36"/>
      <x:c r="B407" s="34"/>
      <x:c r="C407" s="34"/>
      <x:c r="D407" s="34"/>
      <x:c r="E407" s="34"/>
      <x:c r="F407" s="35"/>
    </x:row>
    <x:row r="408" ht="24" customHeight="1">
      <x:c r="A408" s="36"/>
      <x:c r="B408" s="34"/>
      <x:c r="C408" s="34"/>
      <x:c r="D408" s="34"/>
      <x:c r="E408" s="34"/>
      <x:c r="F408" s="35"/>
    </x:row>
    <x:row r="409" ht="24" customHeight="1">
      <x:c r="A409" s="36"/>
      <x:c r="B409" s="34"/>
      <x:c r="C409" s="34"/>
      <x:c r="D409" s="34"/>
      <x:c r="E409" s="34"/>
      <x:c r="F409" s="35"/>
    </x:row>
    <x:row r="410" ht="24" customHeight="1">
      <x:c r="A410" s="36"/>
      <x:c r="B410" s="34"/>
      <x:c r="C410" s="34"/>
      <x:c r="D410" s="34"/>
      <x:c r="E410" s="34"/>
      <x:c r="F410" s="35"/>
    </x:row>
    <x:row r="411" ht="24" customHeight="1">
      <x:c r="A411" s="36"/>
      <x:c r="B411" s="34"/>
      <x:c r="C411" s="34"/>
      <x:c r="D411" s="34"/>
      <x:c r="E411" s="34"/>
      <x:c r="F411" s="35"/>
    </x:row>
    <x:row r="412" ht="24" customHeight="1">
      <x:c r="A412" s="36"/>
      <x:c r="B412" s="34"/>
      <x:c r="C412" s="34"/>
      <x:c r="D412" s="34"/>
      <x:c r="E412" s="34"/>
      <x:c r="F412" s="35"/>
    </x:row>
    <x:row r="413" ht="24" customHeight="1">
      <x:c r="A413" s="36"/>
      <x:c r="B413" s="34"/>
      <x:c r="C413" s="34"/>
      <x:c r="D413" s="34"/>
      <x:c r="E413" s="34"/>
      <x:c r="F413" s="35"/>
    </x:row>
    <x:row r="414" ht="24" customHeight="1">
      <x:c r="A414" s="36"/>
      <x:c r="B414" s="34"/>
      <x:c r="C414" s="34"/>
      <x:c r="D414" s="34"/>
      <x:c r="E414" s="34"/>
      <x:c r="F414" s="35"/>
    </x:row>
    <x:row r="415" ht="24" customHeight="1">
      <x:c r="A415" s="36"/>
      <x:c r="B415" s="34"/>
      <x:c r="C415" s="34"/>
      <x:c r="D415" s="34"/>
      <x:c r="E415" s="34"/>
      <x:c r="F415" s="35"/>
    </x:row>
    <x:row r="416" ht="24" customHeight="1">
      <x:c r="A416" s="36"/>
      <x:c r="B416" s="34"/>
      <x:c r="C416" s="34"/>
      <x:c r="D416" s="34"/>
      <x:c r="E416" s="34"/>
      <x:c r="F416" s="35"/>
    </x:row>
    <x:row r="417" ht="24" customHeight="1">
      <x:c r="A417" s="36"/>
      <x:c r="B417" s="34"/>
      <x:c r="C417" s="34"/>
      <x:c r="D417" s="34"/>
      <x:c r="E417" s="34"/>
      <x:c r="F417" s="35"/>
    </x:row>
    <x:row r="418" ht="24" customHeight="1">
      <x:c r="A418" s="36"/>
      <x:c r="B418" s="34"/>
      <x:c r="C418" s="34"/>
      <x:c r="D418" s="34"/>
      <x:c r="E418" s="34"/>
      <x:c r="F418" s="35"/>
    </x:row>
    <x:row r="419" ht="24" customHeight="1">
      <x:c r="A419" s="36"/>
      <x:c r="B419" s="34"/>
      <x:c r="C419" s="34"/>
      <x:c r="D419" s="34"/>
      <x:c r="E419" s="34"/>
      <x:c r="F419" s="35"/>
    </x:row>
    <x:row r="420" ht="24" customHeight="1">
      <x:c r="A420" s="36"/>
      <x:c r="B420" s="34"/>
      <x:c r="C420" s="34"/>
      <x:c r="D420" s="34"/>
      <x:c r="E420" s="34"/>
      <x:c r="F420" s="35"/>
    </x:row>
    <x:row r="421" ht="24" customHeight="1">
      <x:c r="A421" s="36"/>
      <x:c r="B421" s="34"/>
      <x:c r="C421" s="34"/>
      <x:c r="D421" s="34"/>
      <x:c r="E421" s="34"/>
      <x:c r="F421" s="35"/>
    </x:row>
    <x:row r="422" ht="24" customHeight="1">
      <x:c r="A422" s="36"/>
      <x:c r="B422" s="34"/>
      <x:c r="C422" s="34"/>
      <x:c r="D422" s="34"/>
      <x:c r="E422" s="34"/>
      <x:c r="F422" s="35"/>
    </x:row>
    <x:row r="423" ht="24" customHeight="1">
      <x:c r="A423" s="36"/>
      <x:c r="B423" s="34"/>
      <x:c r="C423" s="34"/>
      <x:c r="D423" s="34"/>
      <x:c r="E423" s="34"/>
      <x:c r="F423" s="35"/>
    </x:row>
    <x:row r="424" ht="24" customHeight="1">
      <x:c r="A424" s="36"/>
      <x:c r="B424" s="34"/>
      <x:c r="C424" s="34"/>
      <x:c r="D424" s="34"/>
      <x:c r="E424" s="34"/>
      <x:c r="F424" s="35"/>
    </x:row>
    <x:row r="425" ht="24" customHeight="1">
      <x:c r="A425" s="36"/>
      <x:c r="B425" s="34"/>
      <x:c r="C425" s="34"/>
      <x:c r="D425" s="34"/>
      <x:c r="E425" s="34"/>
      <x:c r="F425" s="35"/>
    </x:row>
    <x:row r="426" ht="24" customHeight="1">
      <x:c r="A426" s="36"/>
      <x:c r="B426" s="34"/>
      <x:c r="C426" s="34"/>
      <x:c r="D426" s="34"/>
      <x:c r="E426" s="34"/>
      <x:c r="F426" s="35"/>
    </x:row>
    <x:row r="427" ht="24" customHeight="1">
      <x:c r="A427" s="36"/>
      <x:c r="B427" s="34"/>
      <x:c r="C427" s="34"/>
      <x:c r="D427" s="34"/>
      <x:c r="E427" s="34"/>
      <x:c r="F427" s="35"/>
    </x:row>
    <x:row r="428" ht="24" customHeight="1">
      <x:c r="A428" s="36"/>
      <x:c r="B428" s="34"/>
      <x:c r="C428" s="34"/>
      <x:c r="D428" s="34"/>
      <x:c r="E428" s="34"/>
      <x:c r="F428" s="35"/>
    </x:row>
    <x:row r="429" ht="24" customHeight="1">
      <x:c r="A429" s="36"/>
      <x:c r="B429" s="34"/>
      <x:c r="C429" s="34"/>
      <x:c r="D429" s="34"/>
      <x:c r="E429" s="34"/>
      <x:c r="F429" s="35"/>
    </x:row>
    <x:row r="430" ht="24" customHeight="1">
      <x:c r="A430" s="36"/>
      <x:c r="B430" s="34"/>
      <x:c r="C430" s="34"/>
      <x:c r="D430" s="34"/>
      <x:c r="E430" s="34"/>
      <x:c r="F430" s="35"/>
    </x:row>
    <x:row r="431" ht="24" customHeight="1">
      <x:c r="A431" s="36"/>
      <x:c r="B431" s="34"/>
      <x:c r="C431" s="34"/>
      <x:c r="D431" s="34"/>
      <x:c r="E431" s="34"/>
      <x:c r="F431" s="35"/>
    </x:row>
    <x:row r="432" ht="24" customHeight="1">
      <x:c r="A432" s="36"/>
      <x:c r="B432" s="34"/>
      <x:c r="C432" s="34"/>
      <x:c r="D432" s="34"/>
      <x:c r="E432" s="34"/>
      <x:c r="F432" s="35"/>
    </x:row>
    <x:row r="433" ht="24" customHeight="1">
      <x:c r="A433" s="36"/>
      <x:c r="B433" s="34"/>
      <x:c r="C433" s="34"/>
      <x:c r="D433" s="34"/>
      <x:c r="E433" s="34"/>
      <x:c r="F433" s="35"/>
    </x:row>
    <x:row r="434" ht="24" customHeight="1">
      <x:c r="A434" s="36"/>
      <x:c r="B434" s="34"/>
      <x:c r="C434" s="34"/>
      <x:c r="D434" s="34"/>
      <x:c r="E434" s="34"/>
      <x:c r="F434" s="35"/>
    </x:row>
    <x:row r="435" ht="24" customHeight="1">
      <x:c r="A435" s="36"/>
      <x:c r="B435" s="34"/>
      <x:c r="C435" s="34"/>
      <x:c r="D435" s="34"/>
      <x:c r="E435" s="34"/>
      <x:c r="F435" s="35"/>
    </x:row>
    <x:row r="436" ht="24" customHeight="1">
      <x:c r="A436" s="36"/>
      <x:c r="B436" s="34"/>
      <x:c r="C436" s="34"/>
      <x:c r="D436" s="34"/>
      <x:c r="E436" s="34"/>
      <x:c r="F436" s="35"/>
    </x:row>
    <x:row r="437" ht="24" customHeight="1">
      <x:c r="A437" s="36"/>
      <x:c r="B437" s="34"/>
      <x:c r="C437" s="34"/>
      <x:c r="D437" s="34"/>
      <x:c r="E437" s="34"/>
      <x:c r="F437" s="35"/>
    </x:row>
    <x:row r="438" ht="24" customHeight="1">
      <x:c r="A438" s="36"/>
      <x:c r="B438" s="34"/>
      <x:c r="C438" s="34"/>
      <x:c r="D438" s="34"/>
      <x:c r="E438" s="34"/>
      <x:c r="F438" s="35"/>
    </x:row>
    <x:row r="439" ht="24" customHeight="1">
      <x:c r="A439" s="36"/>
      <x:c r="B439" s="34"/>
      <x:c r="C439" s="34"/>
      <x:c r="D439" s="34"/>
      <x:c r="E439" s="34"/>
      <x:c r="F439" s="35"/>
    </x:row>
    <x:row r="440" ht="24" customHeight="1">
      <x:c r="A440" s="36"/>
      <x:c r="B440" s="34"/>
      <x:c r="C440" s="34"/>
      <x:c r="D440" s="34"/>
      <x:c r="E440" s="34"/>
      <x:c r="F440" s="35"/>
    </x:row>
    <x:row r="441" ht="24" customHeight="1">
      <x:c r="A441" s="36"/>
      <x:c r="B441" s="34"/>
      <x:c r="C441" s="34"/>
      <x:c r="D441" s="34"/>
      <x:c r="E441" s="34"/>
      <x:c r="F441" s="35"/>
    </x:row>
    <x:row r="442" ht="24" customHeight="1">
      <x:c r="A442" s="36"/>
      <x:c r="B442" s="34"/>
      <x:c r="C442" s="34"/>
      <x:c r="D442" s="34"/>
      <x:c r="E442" s="34"/>
      <x:c r="F442" s="35"/>
    </x:row>
    <x:row r="443" ht="24" customHeight="1">
      <x:c r="A443" s="36"/>
      <x:c r="B443" s="34"/>
      <x:c r="C443" s="34"/>
      <x:c r="D443" s="34"/>
      <x:c r="E443" s="34"/>
      <x:c r="F443" s="35"/>
    </x:row>
    <x:row r="444" ht="24" customHeight="1">
      <x:c r="A444" s="36"/>
      <x:c r="B444" s="34"/>
      <x:c r="C444" s="34"/>
      <x:c r="D444" s="34"/>
      <x:c r="E444" s="34"/>
      <x:c r="F444" s="35"/>
    </x:row>
    <x:row r="445" ht="24" customHeight="1">
      <x:c r="A445" s="36"/>
      <x:c r="B445" s="34"/>
      <x:c r="C445" s="34"/>
      <x:c r="D445" s="34"/>
      <x:c r="E445" s="34"/>
      <x:c r="F445" s="35"/>
    </x:row>
    <x:row r="446" ht="24" customHeight="1">
      <x:c r="A446" s="36"/>
      <x:c r="B446" s="34"/>
      <x:c r="C446" s="34"/>
      <x:c r="D446" s="34"/>
      <x:c r="E446" s="34"/>
      <x:c r="F446" s="35"/>
    </x:row>
    <x:row r="447" ht="24" customHeight="1">
      <x:c r="A447" s="36"/>
      <x:c r="B447" s="34"/>
      <x:c r="C447" s="34"/>
      <x:c r="D447" s="34"/>
      <x:c r="E447" s="34"/>
      <x:c r="F447" s="35"/>
    </x:row>
    <x:row r="448" ht="24" customHeight="1">
      <x:c r="A448" s="36"/>
      <x:c r="B448" s="34"/>
      <x:c r="C448" s="34"/>
      <x:c r="D448" s="34"/>
      <x:c r="E448" s="34"/>
      <x:c r="F448" s="35"/>
    </x:row>
    <x:row r="449" ht="24" customHeight="1">
      <x:c r="A449" s="36"/>
      <x:c r="B449" s="34"/>
      <x:c r="C449" s="34"/>
      <x:c r="D449" s="34"/>
      <x:c r="E449" s="34"/>
      <x:c r="F449" s="35"/>
    </x:row>
    <x:row r="450" ht="24" customHeight="1">
      <x:c r="A450" s="36"/>
      <x:c r="B450" s="34"/>
      <x:c r="C450" s="34"/>
      <x:c r="D450" s="34"/>
      <x:c r="E450" s="34"/>
      <x:c r="F450" s="35"/>
    </x:row>
    <x:row r="451" ht="24" customHeight="1">
      <x:c r="A451" s="36"/>
      <x:c r="B451" s="34"/>
      <x:c r="C451" s="34"/>
      <x:c r="D451" s="34"/>
      <x:c r="E451" s="34"/>
      <x:c r="F451" s="35"/>
    </x:row>
    <x:row r="452" ht="24" customHeight="1">
      <x:c r="A452" s="36"/>
      <x:c r="B452" s="34"/>
      <x:c r="C452" s="34"/>
      <x:c r="D452" s="34"/>
      <x:c r="E452" s="34"/>
      <x:c r="F452" s="35"/>
    </x:row>
    <x:row r="453" ht="24" customHeight="1">
      <x:c r="A453" s="36"/>
      <x:c r="B453" s="34"/>
      <x:c r="C453" s="34"/>
      <x:c r="D453" s="34"/>
      <x:c r="E453" s="34"/>
      <x:c r="F453" s="35"/>
    </x:row>
    <x:row r="454" ht="24" customHeight="1">
      <x:c r="A454" s="36"/>
      <x:c r="B454" s="34"/>
      <x:c r="C454" s="34"/>
      <x:c r="D454" s="34"/>
      <x:c r="E454" s="34"/>
      <x:c r="F454" s="35"/>
    </x:row>
    <x:row r="455" ht="24" customHeight="1">
      <x:c r="A455" s="36"/>
      <x:c r="B455" s="34"/>
      <x:c r="C455" s="34"/>
      <x:c r="D455" s="34"/>
      <x:c r="E455" s="34"/>
      <x:c r="F455" s="35"/>
    </x:row>
    <x:row r="456" ht="24" customHeight="1">
      <x:c r="A456" s="36"/>
      <x:c r="B456" s="34"/>
      <x:c r="C456" s="34"/>
      <x:c r="D456" s="34"/>
      <x:c r="E456" s="34"/>
      <x:c r="F456" s="35"/>
    </x:row>
    <x:row r="457" ht="24" customHeight="1">
      <x:c r="A457" s="36"/>
      <x:c r="B457" s="34"/>
      <x:c r="C457" s="34"/>
      <x:c r="D457" s="34"/>
      <x:c r="E457" s="34"/>
      <x:c r="F457" s="35"/>
    </x:row>
    <x:row r="458" ht="24" customHeight="1">
      <x:c r="A458" s="36"/>
      <x:c r="B458" s="34"/>
      <x:c r="C458" s="34"/>
      <x:c r="D458" s="34"/>
      <x:c r="E458" s="34"/>
      <x:c r="F458" s="35"/>
    </x:row>
    <x:row r="459" ht="24" customHeight="1">
      <x:c r="A459" s="36"/>
      <x:c r="B459" s="34"/>
      <x:c r="C459" s="34"/>
      <x:c r="D459" s="34"/>
      <x:c r="E459" s="34"/>
      <x:c r="F459" s="35"/>
    </x:row>
    <x:row r="460" ht="24" customHeight="1">
      <x:c r="A460" s="36"/>
      <x:c r="B460" s="34"/>
      <x:c r="C460" s="34"/>
      <x:c r="D460" s="34"/>
      <x:c r="E460" s="34"/>
      <x:c r="F460" s="35"/>
    </x:row>
    <x:row r="461" ht="24" customHeight="1">
      <x:c r="A461" s="36"/>
      <x:c r="B461" s="34"/>
      <x:c r="C461" s="34"/>
      <x:c r="D461" s="34"/>
      <x:c r="E461" s="34"/>
      <x:c r="F461" s="35"/>
    </x:row>
    <x:row r="462" ht="24" customHeight="1">
      <x:c r="A462" s="36"/>
      <x:c r="B462" s="34"/>
      <x:c r="C462" s="34"/>
      <x:c r="D462" s="34"/>
      <x:c r="E462" s="34"/>
      <x:c r="F462" s="35"/>
    </x:row>
    <x:row r="463" ht="24" customHeight="1">
      <x:c r="A463" s="36"/>
      <x:c r="B463" s="34"/>
      <x:c r="C463" s="34"/>
      <x:c r="D463" s="34"/>
      <x:c r="E463" s="34"/>
      <x:c r="F463" s="35"/>
    </x:row>
    <x:row r="464" ht="24" customHeight="1">
      <x:c r="A464" s="36"/>
      <x:c r="B464" s="34"/>
      <x:c r="C464" s="34"/>
      <x:c r="D464" s="34"/>
      <x:c r="E464" s="34"/>
      <x:c r="F464" s="35"/>
    </x:row>
    <x:row r="465" ht="24" customHeight="1">
      <x:c r="A465" s="36"/>
      <x:c r="B465" s="34"/>
      <x:c r="C465" s="34"/>
      <x:c r="D465" s="34"/>
      <x:c r="E465" s="34"/>
      <x:c r="F465" s="35"/>
    </x:row>
    <x:row r="466" ht="24" customHeight="1">
      <x:c r="A466" s="36"/>
      <x:c r="B466" s="34"/>
      <x:c r="C466" s="34"/>
      <x:c r="D466" s="34"/>
      <x:c r="E466" s="34"/>
      <x:c r="F466" s="35"/>
    </x:row>
    <x:row r="467" ht="24" customHeight="1">
      <x:c r="A467" s="36"/>
      <x:c r="B467" s="34"/>
      <x:c r="C467" s="34"/>
      <x:c r="D467" s="34"/>
      <x:c r="E467" s="34"/>
      <x:c r="F467" s="35"/>
    </x:row>
    <x:row r="468" ht="24" customHeight="1">
      <x:c r="A468" s="36"/>
      <x:c r="B468" s="34"/>
      <x:c r="C468" s="34"/>
      <x:c r="D468" s="34"/>
      <x:c r="E468" s="34"/>
      <x:c r="F468" s="35"/>
    </x:row>
    <x:row r="469" ht="24" customHeight="1">
      <x:c r="A469" s="36"/>
      <x:c r="B469" s="34"/>
      <x:c r="C469" s="34"/>
      <x:c r="D469" s="34"/>
      <x:c r="E469" s="34"/>
      <x:c r="F469" s="35"/>
    </x:row>
    <x:row r="470" ht="24" customHeight="1">
      <x:c r="A470" s="36"/>
      <x:c r="B470" s="34"/>
      <x:c r="C470" s="34"/>
      <x:c r="D470" s="34"/>
      <x:c r="E470" s="34"/>
      <x:c r="F470" s="35"/>
    </x:row>
    <x:row r="471" ht="24" customHeight="1">
      <x:c r="A471" s="36"/>
      <x:c r="B471" s="34"/>
      <x:c r="C471" s="34"/>
      <x:c r="D471" s="34"/>
      <x:c r="E471" s="34"/>
      <x:c r="F471" s="35"/>
    </x:row>
    <x:row r="472" ht="24" customHeight="1">
      <x:c r="A472" s="36"/>
      <x:c r="B472" s="34"/>
      <x:c r="C472" s="34"/>
      <x:c r="D472" s="34"/>
      <x:c r="E472" s="34"/>
      <x:c r="F472" s="35"/>
    </x:row>
    <x:row r="473" ht="24" customHeight="1">
      <x:c r="A473" s="36"/>
      <x:c r="B473" s="34"/>
      <x:c r="C473" s="34"/>
      <x:c r="D473" s="34"/>
      <x:c r="E473" s="34"/>
      <x:c r="F473" s="35"/>
    </x:row>
    <x:row r="474" ht="24" customHeight="1">
      <x:c r="A474" s="36"/>
      <x:c r="B474" s="34"/>
      <x:c r="C474" s="34"/>
      <x:c r="D474" s="34"/>
      <x:c r="E474" s="34"/>
      <x:c r="F474" s="35"/>
    </x:row>
    <x:row r="475" ht="24" customHeight="1">
      <x:c r="A475" s="36"/>
      <x:c r="B475" s="34"/>
      <x:c r="C475" s="34"/>
      <x:c r="D475" s="34"/>
      <x:c r="E475" s="34"/>
      <x:c r="F475" s="35"/>
    </x:row>
    <x:row r="476" ht="24" customHeight="1">
      <x:c r="A476" s="36"/>
      <x:c r="B476" s="34"/>
      <x:c r="C476" s="34"/>
      <x:c r="D476" s="34"/>
      <x:c r="E476" s="34"/>
      <x:c r="F476" s="35"/>
    </x:row>
    <x:row r="477" ht="24" customHeight="1">
      <x:c r="A477" s="36"/>
      <x:c r="B477" s="34"/>
      <x:c r="C477" s="34"/>
      <x:c r="D477" s="34"/>
      <x:c r="E477" s="34"/>
      <x:c r="F477" s="35"/>
    </x:row>
    <x:row r="478" ht="24" customHeight="1">
      <x:c r="A478" s="36"/>
      <x:c r="B478" s="34"/>
      <x:c r="C478" s="34"/>
      <x:c r="D478" s="34"/>
      <x:c r="E478" s="34"/>
      <x:c r="F478" s="35"/>
    </x:row>
    <x:row r="479" ht="24" customHeight="1">
      <x:c r="A479" s="36"/>
      <x:c r="B479" s="34"/>
      <x:c r="C479" s="34"/>
      <x:c r="D479" s="34"/>
      <x:c r="E479" s="34"/>
      <x:c r="F479" s="35"/>
    </x:row>
    <x:row r="480" ht="24" customHeight="1">
      <x:c r="A480" s="36"/>
      <x:c r="B480" s="34"/>
      <x:c r="C480" s="34"/>
      <x:c r="D480" s="34"/>
      <x:c r="E480" s="34"/>
      <x:c r="F480" s="35"/>
    </x:row>
    <x:row r="481" ht="24" customHeight="1">
      <x:c r="A481" s="36"/>
      <x:c r="B481" s="34"/>
      <x:c r="C481" s="34"/>
      <x:c r="D481" s="34"/>
      <x:c r="E481" s="34"/>
      <x:c r="F481" s="35"/>
    </x:row>
    <x:row r="482" ht="24" customHeight="1">
      <x:c r="A482" s="36"/>
      <x:c r="B482" s="34"/>
      <x:c r="C482" s="34"/>
      <x:c r="D482" s="34"/>
      <x:c r="E482" s="34"/>
      <x:c r="F482" s="35"/>
    </x:row>
    <x:row r="483" ht="24" customHeight="1">
      <x:c r="A483" s="36"/>
      <x:c r="B483" s="34"/>
      <x:c r="C483" s="34"/>
      <x:c r="D483" s="34"/>
      <x:c r="E483" s="34"/>
      <x:c r="F483" s="35"/>
    </x:row>
    <x:row r="484" ht="24" customHeight="1">
      <x:c r="A484" s="36"/>
      <x:c r="B484" s="34"/>
      <x:c r="C484" s="34"/>
      <x:c r="D484" s="34"/>
      <x:c r="E484" s="34"/>
      <x:c r="F484" s="35"/>
    </x:row>
    <x:row r="485" ht="24" customHeight="1">
      <x:c r="A485" s="36"/>
      <x:c r="B485" s="34"/>
      <x:c r="C485" s="34"/>
      <x:c r="D485" s="34"/>
      <x:c r="E485" s="34"/>
      <x:c r="F485" s="35"/>
    </x:row>
    <x:row r="486" ht="24" customHeight="1">
      <x:c r="A486" s="36"/>
      <x:c r="B486" s="34"/>
      <x:c r="C486" s="34"/>
      <x:c r="D486" s="34"/>
      <x:c r="E486" s="34"/>
      <x:c r="F486" s="35"/>
    </x:row>
    <x:row r="487" ht="24" customHeight="1">
      <x:c r="A487" s="36"/>
      <x:c r="B487" s="34"/>
      <x:c r="C487" s="34"/>
      <x:c r="D487" s="34"/>
      <x:c r="E487" s="34"/>
      <x:c r="F487" s="35"/>
    </x:row>
    <x:row r="488" ht="24" customHeight="1">
      <x:c r="A488" s="36"/>
      <x:c r="B488" s="34"/>
      <x:c r="C488" s="34"/>
      <x:c r="D488" s="34"/>
      <x:c r="E488" s="34"/>
      <x:c r="F488" s="35"/>
    </x:row>
    <x:row r="489" ht="24" customHeight="1">
      <x:c r="A489" s="36"/>
      <x:c r="B489" s="34"/>
      <x:c r="C489" s="34"/>
      <x:c r="D489" s="34"/>
      <x:c r="E489" s="34"/>
      <x:c r="F489" s="35"/>
    </x:row>
    <x:row r="490" ht="24" customHeight="1">
      <x:c r="A490" s="36"/>
      <x:c r="B490" s="34"/>
      <x:c r="C490" s="34"/>
      <x:c r="D490" s="34"/>
      <x:c r="E490" s="34"/>
      <x:c r="F490" s="35"/>
    </x:row>
    <x:row r="491" ht="24" customHeight="1">
      <x:c r="A491" s="36"/>
      <x:c r="B491" s="34"/>
      <x:c r="C491" s="34"/>
      <x:c r="D491" s="34"/>
      <x:c r="E491" s="34"/>
      <x:c r="F491" s="35"/>
    </x:row>
    <x:row r="492" ht="24" customHeight="1">
      <x:c r="A492" s="36"/>
      <x:c r="B492" s="34"/>
      <x:c r="C492" s="34"/>
      <x:c r="D492" s="34"/>
      <x:c r="E492" s="34"/>
      <x:c r="F492" s="35"/>
    </x:row>
    <x:row r="493" ht="24" customHeight="1">
      <x:c r="A493" s="36"/>
      <x:c r="B493" s="34"/>
      <x:c r="C493" s="34"/>
      <x:c r="D493" s="34"/>
      <x:c r="E493" s="34"/>
      <x:c r="F493" s="35"/>
    </x:row>
    <x:row r="494" ht="24" customHeight="1">
      <x:c r="A494" s="36"/>
      <x:c r="B494" s="34"/>
      <x:c r="C494" s="34"/>
      <x:c r="D494" s="34"/>
      <x:c r="E494" s="34"/>
      <x:c r="F494" s="35"/>
    </x:row>
    <x:row r="495" ht="24" customHeight="1">
      <x:c r="A495" s="36"/>
      <x:c r="B495" s="34"/>
      <x:c r="C495" s="34"/>
      <x:c r="D495" s="34"/>
      <x:c r="E495" s="34"/>
      <x:c r="F495" s="35"/>
    </x:row>
    <x:row r="496" ht="24" customHeight="1">
      <x:c r="A496" s="36"/>
      <x:c r="B496" s="34"/>
      <x:c r="C496" s="34"/>
      <x:c r="D496" s="34"/>
      <x:c r="E496" s="34"/>
      <x:c r="F496" s="35"/>
    </x:row>
    <x:row r="497" ht="24" customHeight="1">
      <x:c r="A497" s="36"/>
      <x:c r="B497" s="34"/>
      <x:c r="C497" s="34"/>
      <x:c r="D497" s="34"/>
      <x:c r="E497" s="34"/>
      <x:c r="F497" s="35"/>
    </x:row>
    <x:row r="498" ht="24" customHeight="1">
      <x:c r="A498" s="36"/>
      <x:c r="B498" s="34"/>
      <x:c r="C498" s="34"/>
      <x:c r="D498" s="34"/>
      <x:c r="E498" s="34"/>
      <x:c r="F498" s="35"/>
    </x:row>
    <x:row r="499" ht="24" customHeight="1">
      <x:c r="A499" s="36"/>
      <x:c r="B499" s="34"/>
      <x:c r="C499" s="34"/>
      <x:c r="D499" s="34"/>
      <x:c r="E499" s="34"/>
      <x:c r="F499" s="35"/>
    </x:row>
    <x:row r="500" ht="24" customHeight="1">
      <x:c r="A500" s="36"/>
      <x:c r="B500" s="34"/>
      <x:c r="C500" s="34"/>
      <x:c r="D500" s="34"/>
      <x:c r="E500" s="34"/>
      <x:c r="F500" s="35"/>
    </x:row>
    <x:row r="501" ht="24" customHeight="1">
      <x:c r="A501" s="36"/>
      <x:c r="B501" s="34"/>
      <x:c r="C501" s="34"/>
      <x:c r="D501" s="34"/>
      <x:c r="E501" s="34"/>
      <x:c r="F501" s="35"/>
    </x:row>
    <x:row r="502" ht="24" customHeight="1">
      <x:c r="A502" s="36"/>
      <x:c r="B502" s="34"/>
      <x:c r="C502" s="34"/>
      <x:c r="D502" s="34"/>
      <x:c r="E502" s="34"/>
      <x:c r="F502" s="35"/>
    </x:row>
    <x:row r="503" ht="24" customHeight="1">
      <x:c r="A503" s="36"/>
      <x:c r="B503" s="34"/>
      <x:c r="C503" s="34"/>
      <x:c r="D503" s="34"/>
      <x:c r="E503" s="34"/>
      <x:c r="F503" s="35"/>
    </x:row>
    <x:row r="504" ht="24" customHeight="1">
      <x:c r="A504" s="36"/>
      <x:c r="B504" s="34"/>
      <x:c r="C504" s="34"/>
      <x:c r="D504" s="34"/>
      <x:c r="E504" s="34"/>
      <x:c r="F504" s="35"/>
    </x:row>
    <x:row r="505" ht="24" customHeight="1">
      <x:c r="A505" s="36"/>
      <x:c r="B505" s="34"/>
      <x:c r="C505" s="34"/>
      <x:c r="D505" s="34"/>
      <x:c r="E505" s="34"/>
      <x:c r="F505" s="35"/>
    </x:row>
    <x:row r="506" ht="24" customHeight="1">
      <x:c r="A506" s="36"/>
      <x:c r="B506" s="34"/>
      <x:c r="C506" s="34"/>
      <x:c r="D506" s="34"/>
      <x:c r="E506" s="34"/>
      <x:c r="F506" s="35"/>
    </x:row>
    <x:row r="507" ht="24" customHeight="1">
      <x:c r="A507" s="36"/>
      <x:c r="B507" s="34"/>
      <x:c r="C507" s="34"/>
      <x:c r="D507" s="34"/>
      <x:c r="E507" s="34"/>
      <x:c r="F507" s="35"/>
    </x:row>
    <x:row r="508" ht="24" customHeight="1">
      <x:c r="A508" s="36"/>
      <x:c r="B508" s="34"/>
      <x:c r="C508" s="34"/>
      <x:c r="D508" s="34"/>
      <x:c r="E508" s="34"/>
      <x:c r="F508" s="35"/>
    </x:row>
    <x:row r="509" ht="24" customHeight="1">
      <x:c r="A509" s="36"/>
      <x:c r="B509" s="34"/>
      <x:c r="C509" s="34"/>
      <x:c r="D509" s="34"/>
      <x:c r="E509" s="34"/>
      <x:c r="F509" s="35"/>
    </x:row>
    <x:row r="510" ht="24" customHeight="1">
      <x:c r="A510" s="36"/>
      <x:c r="B510" s="34"/>
      <x:c r="C510" s="34"/>
      <x:c r="D510" s="34"/>
      <x:c r="E510" s="34"/>
      <x:c r="F510" s="35"/>
    </x:row>
    <x:row r="511" ht="24" customHeight="1">
      <x:c r="A511" s="36"/>
      <x:c r="B511" s="34"/>
      <x:c r="C511" s="34"/>
      <x:c r="D511" s="34"/>
      <x:c r="E511" s="34"/>
      <x:c r="F511" s="35"/>
    </x:row>
    <x:row r="512" ht="24" customHeight="1">
      <x:c r="A512" s="36"/>
      <x:c r="B512" s="34"/>
      <x:c r="C512" s="34"/>
      <x:c r="D512" s="34"/>
      <x:c r="E512" s="34"/>
      <x:c r="F512" s="35"/>
    </x:row>
    <x:row r="513" ht="24" customHeight="1">
      <x:c r="A513" s="36"/>
      <x:c r="B513" s="34"/>
      <x:c r="C513" s="34"/>
      <x:c r="D513" s="34"/>
      <x:c r="E513" s="34"/>
      <x:c r="F513" s="35"/>
    </x:row>
    <x:row r="514" ht="24" customHeight="1">
      <x:c r="A514" s="36"/>
      <x:c r="B514" s="34"/>
      <x:c r="C514" s="34"/>
      <x:c r="D514" s="34"/>
      <x:c r="E514" s="34"/>
      <x:c r="F514" s="35"/>
    </x:row>
    <x:row r="515" ht="24" customHeight="1">
      <x:c r="A515" s="36"/>
      <x:c r="B515" s="34"/>
      <x:c r="C515" s="34"/>
      <x:c r="D515" s="34"/>
      <x:c r="E515" s="34"/>
      <x:c r="F515" s="35"/>
    </x:row>
    <x:row r="516" ht="24" customHeight="1">
      <x:c r="A516" s="36"/>
      <x:c r="B516" s="34"/>
      <x:c r="C516" s="34"/>
      <x:c r="D516" s="34"/>
      <x:c r="E516" s="34"/>
      <x:c r="F516" s="35"/>
    </x:row>
    <x:row r="517" ht="24" customHeight="1">
      <x:c r="A517" s="36"/>
      <x:c r="B517" s="34"/>
      <x:c r="C517" s="34"/>
      <x:c r="D517" s="34"/>
      <x:c r="E517" s="34"/>
      <x:c r="F517" s="35"/>
    </x:row>
    <x:row r="518" ht="24" customHeight="1">
      <x:c r="A518" s="36"/>
      <x:c r="B518" s="34"/>
      <x:c r="C518" s="34"/>
      <x:c r="D518" s="34"/>
      <x:c r="E518" s="34"/>
      <x:c r="F518" s="35"/>
    </x:row>
    <x:row r="519" ht="24" customHeight="1">
      <x:c r="A519" s="36"/>
      <x:c r="B519" s="34"/>
      <x:c r="C519" s="34"/>
      <x:c r="D519" s="34"/>
      <x:c r="E519" s="34"/>
      <x:c r="F519" s="35"/>
    </x:row>
    <x:row r="520" ht="24" customHeight="1">
      <x:c r="A520" s="36"/>
      <x:c r="B520" s="34"/>
      <x:c r="C520" s="34"/>
      <x:c r="D520" s="34"/>
      <x:c r="E520" s="34"/>
      <x:c r="F520" s="35"/>
    </x:row>
    <x:row r="521" ht="24" customHeight="1">
      <x:c r="A521" s="36"/>
      <x:c r="B521" s="34"/>
      <x:c r="C521" s="34"/>
      <x:c r="D521" s="34"/>
      <x:c r="E521" s="34"/>
      <x:c r="F521" s="35"/>
    </x:row>
    <x:row r="522" ht="24" customHeight="1">
      <x:c r="A522" s="36"/>
      <x:c r="B522" s="34"/>
      <x:c r="C522" s="34"/>
      <x:c r="D522" s="34"/>
      <x:c r="E522" s="34"/>
      <x:c r="F522" s="35"/>
    </x:row>
    <x:row r="523" ht="24" customHeight="1">
      <x:c r="A523" s="36"/>
      <x:c r="B523" s="34"/>
      <x:c r="C523" s="34"/>
      <x:c r="D523" s="34"/>
      <x:c r="E523" s="34"/>
      <x:c r="F523" s="35"/>
    </x:row>
    <x:row r="524" ht="24" customHeight="1">
      <x:c r="A524" s="36"/>
      <x:c r="B524" s="34"/>
      <x:c r="C524" s="34"/>
      <x:c r="D524" s="34"/>
      <x:c r="E524" s="34"/>
      <x:c r="F524" s="35"/>
    </x:row>
    <x:row r="525" ht="24" customHeight="1">
      <x:c r="A525" s="36"/>
      <x:c r="B525" s="34"/>
      <x:c r="C525" s="34"/>
      <x:c r="D525" s="34"/>
      <x:c r="E525" s="34"/>
      <x:c r="F525" s="35"/>
    </x:row>
    <x:row r="526" ht="24" customHeight="1">
      <x:c r="A526" s="36"/>
      <x:c r="B526" s="34"/>
      <x:c r="C526" s="34"/>
      <x:c r="D526" s="34"/>
      <x:c r="E526" s="34"/>
      <x:c r="F526" s="35"/>
    </x:row>
    <x:row r="527" ht="24" customHeight="1">
      <x:c r="A527" s="36"/>
      <x:c r="B527" s="34"/>
      <x:c r="C527" s="34"/>
      <x:c r="D527" s="34"/>
      <x:c r="E527" s="34"/>
      <x:c r="F527" s="35"/>
    </x:row>
    <x:row r="528" ht="24" customHeight="1">
      <x:c r="A528" s="36"/>
      <x:c r="B528" s="34"/>
      <x:c r="C528" s="34"/>
      <x:c r="D528" s="34"/>
      <x:c r="E528" s="34"/>
      <x:c r="F528" s="35"/>
    </x:row>
    <x:row r="529" ht="24" customHeight="1">
      <x:c r="A529" s="36"/>
      <x:c r="B529" s="34"/>
      <x:c r="C529" s="34"/>
      <x:c r="D529" s="34"/>
      <x:c r="E529" s="34"/>
      <x:c r="F529" s="35"/>
    </x:row>
    <x:row r="530" ht="24" customHeight="1">
      <x:c r="A530" s="36"/>
      <x:c r="B530" s="34"/>
      <x:c r="C530" s="34"/>
      <x:c r="D530" s="34"/>
      <x:c r="E530" s="34"/>
      <x:c r="F530" s="35"/>
    </x:row>
    <x:row r="531" ht="24" customHeight="1">
      <x:c r="A531" s="36"/>
      <x:c r="B531" s="34"/>
      <x:c r="C531" s="34"/>
      <x:c r="D531" s="34"/>
      <x:c r="E531" s="34"/>
      <x:c r="F531" s="35"/>
    </x:row>
    <x:row r="532" ht="24" customHeight="1">
      <x:c r="A532" s="36"/>
      <x:c r="B532" s="34"/>
      <x:c r="C532" s="34"/>
      <x:c r="D532" s="34"/>
      <x:c r="E532" s="34"/>
      <x:c r="F532" s="35"/>
    </x:row>
    <x:row r="533" ht="24" customHeight="1">
      <x:c r="A533" s="36"/>
      <x:c r="B533" s="34"/>
      <x:c r="C533" s="34"/>
      <x:c r="D533" s="34"/>
      <x:c r="E533" s="34"/>
      <x:c r="F533" s="35"/>
    </x:row>
    <x:row r="534" ht="24" customHeight="1">
      <x:c r="A534" s="36"/>
      <x:c r="B534" s="34"/>
      <x:c r="C534" s="34"/>
      <x:c r="D534" s="34"/>
      <x:c r="E534" s="34"/>
      <x:c r="F534" s="35"/>
    </x:row>
    <x:row r="535" ht="24" customHeight="1">
      <x:c r="A535" s="36"/>
      <x:c r="B535" s="34"/>
      <x:c r="C535" s="34"/>
      <x:c r="D535" s="34"/>
      <x:c r="E535" s="34"/>
      <x:c r="F535" s="35"/>
    </x:row>
    <x:row r="536" ht="24" customHeight="1">
      <x:c r="A536" s="36"/>
      <x:c r="B536" s="34"/>
      <x:c r="C536" s="34"/>
      <x:c r="D536" s="34"/>
      <x:c r="E536" s="34"/>
      <x:c r="F536" s="35"/>
    </x:row>
    <x:row r="537" ht="24" customHeight="1">
      <x:c r="A537" s="36"/>
      <x:c r="B537" s="34"/>
      <x:c r="C537" s="34"/>
      <x:c r="D537" s="34"/>
      <x:c r="E537" s="34"/>
      <x:c r="F537" s="35"/>
    </x:row>
    <x:row r="538" ht="24" customHeight="1">
      <x:c r="A538" s="36"/>
      <x:c r="B538" s="34"/>
      <x:c r="C538" s="34"/>
      <x:c r="D538" s="34"/>
      <x:c r="E538" s="34"/>
      <x:c r="F538" s="35"/>
    </x:row>
    <x:row r="539" ht="24" customHeight="1">
      <x:c r="A539" s="36"/>
      <x:c r="B539" s="34"/>
      <x:c r="C539" s="34"/>
      <x:c r="D539" s="34"/>
      <x:c r="E539" s="34"/>
      <x:c r="F539" s="35"/>
    </x:row>
    <x:row r="540" ht="24" customHeight="1">
      <x:c r="A540" s="36"/>
      <x:c r="B540" s="34"/>
      <x:c r="C540" s="34"/>
      <x:c r="D540" s="34"/>
      <x:c r="E540" s="34"/>
      <x:c r="F540" s="35"/>
    </x:row>
    <x:row r="541" ht="24" customHeight="1">
      <x:c r="A541" s="36"/>
      <x:c r="B541" s="34"/>
      <x:c r="C541" s="34"/>
      <x:c r="D541" s="34"/>
      <x:c r="E541" s="34"/>
      <x:c r="F541" s="35"/>
    </x:row>
    <x:row r="542" ht="24" customHeight="1">
      <x:c r="A542" s="36"/>
      <x:c r="B542" s="34"/>
      <x:c r="C542" s="34"/>
      <x:c r="D542" s="34"/>
      <x:c r="E542" s="34"/>
      <x:c r="F542" s="35"/>
    </x:row>
    <x:row r="543" ht="24" customHeight="1">
      <x:c r="A543" s="36"/>
      <x:c r="B543" s="34"/>
      <x:c r="C543" s="34"/>
      <x:c r="D543" s="34"/>
      <x:c r="E543" s="34"/>
      <x:c r="F543" s="35"/>
    </x:row>
    <x:row r="544" ht="24" customHeight="1">
      <x:c r="A544" s="36"/>
      <x:c r="B544" s="34"/>
      <x:c r="C544" s="34"/>
      <x:c r="D544" s="34"/>
      <x:c r="E544" s="34"/>
      <x:c r="F544" s="35"/>
    </x:row>
    <x:row r="545" ht="24" customHeight="1">
      <x:c r="A545" s="36"/>
      <x:c r="B545" s="34"/>
      <x:c r="C545" s="34"/>
      <x:c r="D545" s="34"/>
      <x:c r="E545" s="34"/>
      <x:c r="F545" s="35"/>
    </x:row>
    <x:row r="546" ht="24" customHeight="1">
      <x:c r="A546" s="36"/>
      <x:c r="B546" s="34"/>
      <x:c r="C546" s="34"/>
      <x:c r="D546" s="34"/>
      <x:c r="E546" s="34"/>
      <x:c r="F546" s="35"/>
    </x:row>
    <x:row r="547" ht="24" customHeight="1">
      <x:c r="A547" s="36"/>
      <x:c r="B547" s="34"/>
      <x:c r="C547" s="34"/>
      <x:c r="D547" s="34"/>
      <x:c r="E547" s="34"/>
      <x:c r="F547" s="35"/>
    </x:row>
    <x:row r="548" ht="24" customHeight="1">
      <x:c r="A548" s="36"/>
      <x:c r="B548" s="34"/>
      <x:c r="C548" s="34"/>
      <x:c r="D548" s="34"/>
      <x:c r="E548" s="34"/>
      <x:c r="F548" s="35"/>
    </x:row>
    <x:row r="549" ht="24" customHeight="1">
      <x:c r="A549" s="36"/>
      <x:c r="B549" s="34"/>
      <x:c r="C549" s="34"/>
      <x:c r="D549" s="34"/>
      <x:c r="E549" s="34"/>
      <x:c r="F549" s="35"/>
    </x:row>
    <x:row r="550" ht="24" customHeight="1">
      <x:c r="A550" s="36"/>
      <x:c r="B550" s="34"/>
      <x:c r="C550" s="34"/>
      <x:c r="D550" s="34"/>
      <x:c r="E550" s="34"/>
      <x:c r="F550" s="35"/>
    </x:row>
    <x:row r="551" ht="24" customHeight="1">
      <x:c r="A551" s="36"/>
      <x:c r="B551" s="34"/>
      <x:c r="C551" s="34"/>
      <x:c r="D551" s="34"/>
      <x:c r="E551" s="34"/>
      <x:c r="F551" s="35"/>
    </x:row>
    <x:row r="552" ht="24" customHeight="1">
      <x:c r="A552" s="36"/>
      <x:c r="B552" s="34"/>
      <x:c r="C552" s="34"/>
      <x:c r="D552" s="34"/>
      <x:c r="E552" s="34"/>
      <x:c r="F552" s="35"/>
    </x:row>
    <x:row r="553" ht="24" customHeight="1">
      <x:c r="A553" s="36"/>
      <x:c r="B553" s="34"/>
      <x:c r="C553" s="34"/>
      <x:c r="D553" s="34"/>
      <x:c r="E553" s="34"/>
      <x:c r="F553" s="35"/>
    </x:row>
    <x:row r="554" ht="24" customHeight="1">
      <x:c r="A554" s="36"/>
      <x:c r="B554" s="34"/>
      <x:c r="C554" s="34"/>
      <x:c r="D554" s="34"/>
      <x:c r="E554" s="34"/>
      <x:c r="F554" s="35"/>
    </x:row>
    <x:row r="555" ht="24" customHeight="1">
      <x:c r="A555" s="36"/>
      <x:c r="B555" s="34"/>
      <x:c r="C555" s="34"/>
      <x:c r="D555" s="34"/>
      <x:c r="E555" s="34"/>
      <x:c r="F555" s="35"/>
    </x:row>
    <x:row r="556" ht="24" customHeight="1">
      <x:c r="A556" s="36"/>
      <x:c r="B556" s="34"/>
      <x:c r="C556" s="34"/>
      <x:c r="D556" s="34"/>
      <x:c r="E556" s="34"/>
      <x:c r="F556" s="35"/>
    </x:row>
    <x:row r="557" ht="24" customHeight="1">
      <x:c r="A557" s="36"/>
      <x:c r="B557" s="34"/>
      <x:c r="C557" s="34"/>
      <x:c r="D557" s="34"/>
      <x:c r="E557" s="34"/>
      <x:c r="F557" s="35"/>
    </x:row>
    <x:row r="558" ht="24" customHeight="1">
      <x:c r="A558" s="36"/>
      <x:c r="B558" s="34"/>
      <x:c r="C558" s="34"/>
      <x:c r="D558" s="34"/>
      <x:c r="E558" s="34"/>
      <x:c r="F558" s="35"/>
    </x:row>
    <x:row r="559" ht="24" customHeight="1">
      <x:c r="A559" s="36"/>
      <x:c r="B559" s="34"/>
      <x:c r="C559" s="34"/>
      <x:c r="D559" s="34"/>
      <x:c r="E559" s="34"/>
      <x:c r="F559" s="35"/>
    </x:row>
    <x:row r="560" ht="24" customHeight="1">
      <x:c r="A560" s="36"/>
      <x:c r="B560" s="34"/>
      <x:c r="C560" s="34"/>
      <x:c r="D560" s="34"/>
      <x:c r="E560" s="34"/>
      <x:c r="F560" s="35"/>
    </x:row>
    <x:row r="561" ht="24" customHeight="1">
      <x:c r="A561" s="36"/>
      <x:c r="B561" s="34"/>
      <x:c r="C561" s="34"/>
      <x:c r="D561" s="34"/>
      <x:c r="E561" s="34"/>
      <x:c r="F561" s="35"/>
    </x:row>
    <x:row r="562" ht="24" customHeight="1">
      <x:c r="A562" s="36"/>
      <x:c r="B562" s="34"/>
      <x:c r="C562" s="34"/>
      <x:c r="D562" s="34"/>
      <x:c r="E562" s="34"/>
      <x:c r="F562" s="35"/>
    </x:row>
    <x:row r="563" ht="24" customHeight="1">
      <x:c r="A563" s="36"/>
      <x:c r="B563" s="34"/>
      <x:c r="C563" s="34"/>
      <x:c r="D563" s="34"/>
      <x:c r="E563" s="34"/>
      <x:c r="F563" s="35"/>
    </x:row>
    <x:row r="564" ht="24" customHeight="1">
      <x:c r="A564" s="36"/>
      <x:c r="B564" s="34"/>
      <x:c r="C564" s="34"/>
      <x:c r="D564" s="34"/>
      <x:c r="E564" s="34"/>
      <x:c r="F564" s="35"/>
    </x:row>
    <x:row r="565" ht="24" customHeight="1">
      <x:c r="A565" s="36"/>
      <x:c r="B565" s="34"/>
      <x:c r="C565" s="34"/>
      <x:c r="D565" s="34"/>
      <x:c r="E565" s="34"/>
      <x:c r="F565" s="35"/>
    </x:row>
    <x:row r="566" ht="24" customHeight="1">
      <x:c r="A566" s="36"/>
      <x:c r="B566" s="34"/>
      <x:c r="C566" s="34"/>
      <x:c r="D566" s="34"/>
      <x:c r="E566" s="34"/>
      <x:c r="F566" s="35"/>
    </x:row>
    <x:row r="567" ht="24" customHeight="1">
      <x:c r="A567" s="36"/>
      <x:c r="B567" s="34"/>
      <x:c r="C567" s="34"/>
      <x:c r="D567" s="34"/>
      <x:c r="E567" s="34"/>
      <x:c r="F567" s="35"/>
    </x:row>
    <x:row r="568" ht="24" customHeight="1">
      <x:c r="A568" s="36"/>
      <x:c r="B568" s="34"/>
      <x:c r="C568" s="34"/>
      <x:c r="D568" s="34"/>
      <x:c r="E568" s="34"/>
      <x:c r="F568" s="35"/>
    </x:row>
    <x:row r="569" ht="24" customHeight="1">
      <x:c r="A569" s="36"/>
      <x:c r="B569" s="34"/>
      <x:c r="C569" s="34"/>
      <x:c r="D569" s="34"/>
      <x:c r="E569" s="34"/>
      <x:c r="F569" s="35"/>
    </x:row>
    <x:row r="570" ht="24" customHeight="1">
      <x:c r="A570" s="36"/>
      <x:c r="B570" s="34"/>
      <x:c r="C570" s="34"/>
      <x:c r="D570" s="34"/>
      <x:c r="E570" s="34"/>
      <x:c r="F570" s="35"/>
    </x:row>
    <x:row r="571" ht="24" customHeight="1">
      <x:c r="A571" s="36"/>
      <x:c r="B571" s="34"/>
      <x:c r="C571" s="34"/>
      <x:c r="D571" s="34"/>
      <x:c r="E571" s="34"/>
      <x:c r="F571" s="35"/>
    </x:row>
    <x:row r="572" ht="24" customHeight="1">
      <x:c r="A572" s="36"/>
      <x:c r="B572" s="34"/>
      <x:c r="C572" s="34"/>
      <x:c r="D572" s="34"/>
      <x:c r="E572" s="34"/>
      <x:c r="F572" s="35"/>
    </x:row>
    <x:row r="573" ht="24" customHeight="1">
      <x:c r="A573" s="36"/>
      <x:c r="B573" s="34"/>
      <x:c r="C573" s="34"/>
      <x:c r="D573" s="34"/>
      <x:c r="E573" s="34"/>
      <x:c r="F573" s="35"/>
    </x:row>
    <x:row r="574" ht="24" customHeight="1">
      <x:c r="A574" s="36"/>
      <x:c r="B574" s="34"/>
      <x:c r="C574" s="34"/>
      <x:c r="D574" s="34"/>
      <x:c r="E574" s="34"/>
      <x:c r="F574" s="35"/>
    </x:row>
    <x:row r="575" ht="24" customHeight="1">
      <x:c r="A575" s="36"/>
      <x:c r="B575" s="34"/>
      <x:c r="C575" s="34"/>
      <x:c r="D575" s="34"/>
      <x:c r="E575" s="34"/>
      <x:c r="F575" s="35"/>
    </x:row>
    <x:row r="576" ht="24" customHeight="1">
      <x:c r="A576" s="36"/>
      <x:c r="B576" s="34"/>
      <x:c r="C576" s="34"/>
      <x:c r="D576" s="34"/>
      <x:c r="E576" s="34"/>
      <x:c r="F576" s="35"/>
    </x:row>
    <x:row r="577" ht="24" customHeight="1">
      <x:c r="A577" s="36"/>
      <x:c r="B577" s="34"/>
      <x:c r="C577" s="34"/>
      <x:c r="D577" s="34"/>
      <x:c r="E577" s="34"/>
      <x:c r="F577" s="35"/>
    </x:row>
    <x:row r="578" ht="24" customHeight="1">
      <x:c r="A578" s="36"/>
      <x:c r="B578" s="34"/>
      <x:c r="C578" s="34"/>
      <x:c r="D578" s="34"/>
      <x:c r="E578" s="34"/>
      <x:c r="F578" s="35"/>
    </x:row>
    <x:row r="579" ht="24" customHeight="1">
      <x:c r="A579" s="36"/>
      <x:c r="B579" s="34"/>
      <x:c r="C579" s="34"/>
      <x:c r="D579" s="34"/>
      <x:c r="E579" s="34"/>
      <x:c r="F579" s="35"/>
    </x:row>
    <x:row r="580" ht="24" customHeight="1">
      <x:c r="A580" s="36"/>
      <x:c r="B580" s="34"/>
      <x:c r="C580" s="34"/>
      <x:c r="D580" s="34"/>
      <x:c r="E580" s="34"/>
      <x:c r="F580" s="35"/>
    </x:row>
    <x:row r="581" ht="24" customHeight="1">
      <x:c r="A581" s="36"/>
      <x:c r="B581" s="34"/>
      <x:c r="C581" s="34"/>
      <x:c r="D581" s="34"/>
      <x:c r="E581" s="34"/>
      <x:c r="F581" s="35"/>
    </x:row>
    <x:row r="582" ht="24" customHeight="1">
      <x:c r="A582" s="36"/>
      <x:c r="B582" s="34"/>
      <x:c r="C582" s="34"/>
      <x:c r="D582" s="34"/>
      <x:c r="E582" s="34"/>
      <x:c r="F582" s="35"/>
    </x:row>
    <x:row r="583" ht="24" customHeight="1">
      <x:c r="A583" s="36"/>
      <x:c r="B583" s="34"/>
      <x:c r="C583" s="34"/>
      <x:c r="D583" s="34"/>
      <x:c r="E583" s="34"/>
      <x:c r="F583" s="35"/>
    </x:row>
    <x:row r="584" ht="24" customHeight="1">
      <x:c r="A584" s="36"/>
      <x:c r="B584" s="34"/>
      <x:c r="C584" s="34"/>
      <x:c r="D584" s="34"/>
      <x:c r="E584" s="34"/>
      <x:c r="F584" s="35"/>
    </x:row>
    <x:row r="585" ht="24" customHeight="1">
      <x:c r="A585" s="36"/>
      <x:c r="B585" s="34"/>
      <x:c r="C585" s="34"/>
      <x:c r="D585" s="34"/>
      <x:c r="E585" s="34"/>
      <x:c r="F585" s="35"/>
    </x:row>
    <x:row r="586" ht="24" customHeight="1">
      <x:c r="A586" s="36"/>
      <x:c r="B586" s="34"/>
      <x:c r="C586" s="34"/>
      <x:c r="D586" s="34"/>
      <x:c r="E586" s="34"/>
      <x:c r="F586" s="35"/>
    </x:row>
    <x:row r="587" ht="24" customHeight="1">
      <x:c r="A587" s="36"/>
      <x:c r="B587" s="34"/>
      <x:c r="C587" s="34"/>
      <x:c r="D587" s="34"/>
      <x:c r="E587" s="34"/>
      <x:c r="F587" s="35"/>
    </x:row>
    <x:row r="588" ht="24" customHeight="1">
      <x:c r="A588" s="36"/>
      <x:c r="B588" s="34"/>
      <x:c r="C588" s="34"/>
      <x:c r="D588" s="34"/>
      <x:c r="E588" s="34"/>
      <x:c r="F588" s="35"/>
    </x:row>
    <x:row r="589" ht="24" customHeight="1">
      <x:c r="A589" s="36"/>
      <x:c r="B589" s="34"/>
      <x:c r="C589" s="34"/>
      <x:c r="D589" s="34"/>
      <x:c r="E589" s="34"/>
      <x:c r="F589" s="35"/>
    </x:row>
    <x:row r="590" ht="24" customHeight="1">
      <x:c r="A590" s="36"/>
      <x:c r="B590" s="34"/>
      <x:c r="C590" s="34"/>
      <x:c r="D590" s="34"/>
      <x:c r="E590" s="34"/>
      <x:c r="F590" s="35"/>
    </x:row>
    <x:row r="591" ht="24" customHeight="1">
      <x:c r="A591" s="36"/>
      <x:c r="B591" s="34"/>
      <x:c r="C591" s="34"/>
      <x:c r="D591" s="34"/>
      <x:c r="E591" s="34"/>
      <x:c r="F591" s="35"/>
    </x:row>
    <x:row r="592" ht="24" customHeight="1">
      <x:c r="A592" s="36"/>
      <x:c r="B592" s="34"/>
      <x:c r="C592" s="34"/>
      <x:c r="D592" s="34"/>
      <x:c r="E592" s="34"/>
      <x:c r="F592" s="35"/>
    </x:row>
    <x:row r="593" ht="24" customHeight="1">
      <x:c r="A593" s="36"/>
      <x:c r="B593" s="34"/>
      <x:c r="C593" s="34"/>
      <x:c r="D593" s="34"/>
      <x:c r="E593" s="34"/>
      <x:c r="F593" s="35"/>
    </x:row>
    <x:row r="594" ht="24" customHeight="1">
      <x:c r="A594" s="36"/>
      <x:c r="B594" s="34"/>
      <x:c r="C594" s="34"/>
      <x:c r="D594" s="34"/>
      <x:c r="E594" s="34"/>
      <x:c r="F594" s="35"/>
    </x:row>
    <x:row r="595" ht="24" customHeight="1">
      <x:c r="A595" s="36"/>
      <x:c r="B595" s="34"/>
      <x:c r="C595" s="34"/>
      <x:c r="D595" s="34"/>
      <x:c r="E595" s="34"/>
      <x:c r="F595" s="35"/>
    </x:row>
    <x:row r="596" ht="24" customHeight="1">
      <x:c r="A596" s="36"/>
      <x:c r="B596" s="34"/>
      <x:c r="C596" s="34"/>
      <x:c r="D596" s="34"/>
      <x:c r="E596" s="34"/>
      <x:c r="F596" s="35"/>
    </x:row>
    <x:row r="597" ht="24" customHeight="1">
      <x:c r="A597" s="36"/>
      <x:c r="B597" s="34"/>
      <x:c r="C597" s="34"/>
      <x:c r="D597" s="34"/>
      <x:c r="E597" s="34"/>
      <x:c r="F597" s="35"/>
    </x:row>
    <x:row r="598" ht="24" customHeight="1">
      <x:c r="A598" s="36"/>
      <x:c r="B598" s="34"/>
      <x:c r="C598" s="34"/>
      <x:c r="D598" s="34"/>
      <x:c r="E598" s="34"/>
      <x:c r="F598" s="35"/>
    </x:row>
    <x:row r="599" ht="24" customHeight="1">
      <x:c r="A599" s="36"/>
      <x:c r="B599" s="34"/>
      <x:c r="C599" s="34"/>
      <x:c r="D599" s="34"/>
      <x:c r="E599" s="34"/>
      <x:c r="F599" s="35"/>
    </x:row>
    <x:row r="600" ht="24" customHeight="1">
      <x:c r="A600" s="36"/>
      <x:c r="B600" s="34"/>
      <x:c r="C600" s="34"/>
      <x:c r="D600" s="34"/>
      <x:c r="E600" s="34"/>
      <x:c r="F600" s="35"/>
    </x:row>
    <x:row r="601" ht="24" customHeight="1">
      <x:c r="A601" s="36"/>
      <x:c r="B601" s="34"/>
      <x:c r="C601" s="34"/>
      <x:c r="D601" s="34"/>
      <x:c r="E601" s="34"/>
      <x:c r="F601" s="35"/>
    </x:row>
    <x:row r="602" ht="24" customHeight="1">
      <x:c r="A602" s="36"/>
      <x:c r="B602" s="34"/>
      <x:c r="C602" s="34"/>
      <x:c r="D602" s="34"/>
      <x:c r="E602" s="34"/>
      <x:c r="F602" s="35"/>
    </x:row>
    <x:row r="603" ht="24" customHeight="1">
      <x:c r="A603" s="36"/>
      <x:c r="B603" s="34"/>
      <x:c r="C603" s="34"/>
      <x:c r="D603" s="34"/>
      <x:c r="E603" s="34"/>
      <x:c r="F603" s="35"/>
    </x:row>
    <x:row r="604" ht="24" customHeight="1">
      <x:c r="A604" s="36"/>
      <x:c r="B604" s="34"/>
      <x:c r="C604" s="34"/>
      <x:c r="D604" s="34"/>
      <x:c r="E604" s="34"/>
      <x:c r="F604" s="35"/>
    </x:row>
    <x:row r="605" ht="24" customHeight="1">
      <x:c r="A605" s="36"/>
      <x:c r="B605" s="34"/>
      <x:c r="C605" s="34"/>
      <x:c r="D605" s="34"/>
      <x:c r="E605" s="34"/>
      <x:c r="F605" s="35"/>
    </x:row>
    <x:row r="606" ht="24" customHeight="1">
      <x:c r="A606" s="36"/>
      <x:c r="B606" s="34"/>
      <x:c r="C606" s="34"/>
      <x:c r="D606" s="34"/>
      <x:c r="E606" s="34"/>
      <x:c r="F606" s="35"/>
    </x:row>
    <x:row r="607" ht="24" customHeight="1">
      <x:c r="A607" s="36"/>
      <x:c r="B607" s="34"/>
      <x:c r="C607" s="34"/>
      <x:c r="D607" s="34"/>
      <x:c r="E607" s="34"/>
      <x:c r="F607" s="35"/>
    </x:row>
    <x:row r="608" ht="24" customHeight="1">
      <x:c r="A608" s="36"/>
      <x:c r="B608" s="34"/>
      <x:c r="C608" s="34"/>
      <x:c r="D608" s="34"/>
      <x:c r="E608" s="34"/>
      <x:c r="F608" s="35"/>
    </x:row>
    <x:row r="609" ht="24" customHeight="1">
      <x:c r="A609" s="36"/>
      <x:c r="B609" s="34"/>
      <x:c r="C609" s="34"/>
      <x:c r="D609" s="34"/>
      <x:c r="E609" s="34"/>
      <x:c r="F609" s="35"/>
    </x:row>
    <x:row r="610" ht="24" customHeight="1">
      <x:c r="A610" s="36"/>
      <x:c r="B610" s="34"/>
      <x:c r="C610" s="34"/>
      <x:c r="D610" s="34"/>
      <x:c r="E610" s="34"/>
      <x:c r="F610" s="35"/>
    </x:row>
    <x:row r="611" ht="24" customHeight="1">
      <x:c r="A611" s="36"/>
      <x:c r="B611" s="34"/>
      <x:c r="C611" s="34"/>
      <x:c r="D611" s="34"/>
      <x:c r="E611" s="34"/>
      <x:c r="F611" s="35"/>
    </x:row>
    <x:row r="612" ht="24" customHeight="1">
      <x:c r="A612" s="36"/>
      <x:c r="B612" s="34"/>
      <x:c r="C612" s="34"/>
      <x:c r="D612" s="34"/>
      <x:c r="E612" s="34"/>
      <x:c r="F612" s="35"/>
    </x:row>
    <x:row r="613" ht="24" customHeight="1">
      <x:c r="A613" s="36"/>
      <x:c r="B613" s="34"/>
      <x:c r="C613" s="34"/>
      <x:c r="D613" s="34"/>
      <x:c r="E613" s="34"/>
      <x:c r="F613" s="35"/>
    </x:row>
    <x:row r="614" ht="24" customHeight="1">
      <x:c r="A614" s="36"/>
      <x:c r="B614" s="34"/>
      <x:c r="C614" s="34"/>
      <x:c r="D614" s="34"/>
      <x:c r="E614" s="34"/>
      <x:c r="F614" s="35"/>
    </x:row>
    <x:row r="615" ht="24" customHeight="1">
      <x:c r="A615" s="36"/>
      <x:c r="B615" s="34"/>
      <x:c r="C615" s="34"/>
      <x:c r="D615" s="34"/>
      <x:c r="E615" s="34"/>
      <x:c r="F615" s="35"/>
    </x:row>
    <x:row r="616" ht="24" customHeight="1">
      <x:c r="A616" s="36"/>
      <x:c r="B616" s="34"/>
      <x:c r="C616" s="34"/>
      <x:c r="D616" s="34"/>
      <x:c r="E616" s="34"/>
      <x:c r="F616" s="35"/>
    </x:row>
    <x:row r="617" ht="24" customHeight="1">
      <x:c r="A617" s="36"/>
      <x:c r="B617" s="34"/>
      <x:c r="C617" s="34"/>
      <x:c r="D617" s="34"/>
      <x:c r="E617" s="34"/>
      <x:c r="F617" s="35"/>
    </x:row>
    <x:row r="618" ht="24" customHeight="1">
      <x:c r="A618" s="36"/>
      <x:c r="B618" s="34"/>
      <x:c r="C618" s="34"/>
      <x:c r="D618" s="34"/>
      <x:c r="E618" s="34"/>
      <x:c r="F618" s="35"/>
    </x:row>
    <x:row r="619" ht="24" customHeight="1">
      <x:c r="A619" s="36"/>
      <x:c r="B619" s="34"/>
      <x:c r="C619" s="34"/>
      <x:c r="D619" s="34"/>
      <x:c r="E619" s="34"/>
      <x:c r="F619" s="35"/>
    </x:row>
    <x:row r="620" ht="24" customHeight="1">
      <x:c r="A620" s="36"/>
      <x:c r="B620" s="34"/>
      <x:c r="C620" s="34"/>
      <x:c r="D620" s="34"/>
      <x:c r="E620" s="34"/>
      <x:c r="F620" s="35"/>
    </x:row>
    <x:row r="621" ht="24" customHeight="1">
      <x:c r="A621" s="36"/>
      <x:c r="B621" s="34"/>
      <x:c r="C621" s="34"/>
      <x:c r="D621" s="34"/>
      <x:c r="E621" s="34"/>
      <x:c r="F621" s="35"/>
    </x:row>
    <x:row r="622" ht="24" customHeight="1">
      <x:c r="A622" s="36"/>
      <x:c r="B622" s="34"/>
      <x:c r="C622" s="34"/>
      <x:c r="D622" s="34"/>
      <x:c r="E622" s="34"/>
      <x:c r="F622" s="35"/>
    </x:row>
    <x:row r="623" ht="24" customHeight="1">
      <x:c r="A623" s="36"/>
      <x:c r="B623" s="34"/>
      <x:c r="C623" s="34"/>
      <x:c r="D623" s="34"/>
      <x:c r="E623" s="34"/>
      <x:c r="F623" s="35"/>
    </x:row>
    <x:row r="624" ht="24" customHeight="1">
      <x:c r="A624" s="36"/>
      <x:c r="B624" s="34"/>
      <x:c r="C624" s="34"/>
      <x:c r="D624" s="34"/>
      <x:c r="E624" s="34"/>
      <x:c r="F624" s="35"/>
    </x:row>
    <x:row r="625" ht="24" customHeight="1">
      <x:c r="A625" s="36"/>
      <x:c r="B625" s="34"/>
      <x:c r="C625" s="34"/>
      <x:c r="D625" s="34"/>
      <x:c r="E625" s="34"/>
      <x:c r="F625" s="35"/>
    </x:row>
    <x:row r="626" ht="24" customHeight="1">
      <x:c r="A626" s="36"/>
      <x:c r="B626" s="34"/>
      <x:c r="C626" s="34"/>
      <x:c r="D626" s="34"/>
      <x:c r="E626" s="34"/>
      <x:c r="F626" s="35"/>
    </x:row>
    <x:row r="627" ht="24" customHeight="1">
      <x:c r="A627" s="36"/>
      <x:c r="B627" s="34"/>
      <x:c r="C627" s="34"/>
      <x:c r="D627" s="34"/>
      <x:c r="E627" s="34"/>
      <x:c r="F627" s="35"/>
    </x:row>
    <x:row r="628" ht="24" customHeight="1">
      <x:c r="A628" s="36"/>
      <x:c r="B628" s="34"/>
      <x:c r="C628" s="34"/>
      <x:c r="D628" s="34"/>
      <x:c r="E628" s="34"/>
      <x:c r="F628" s="35"/>
    </x:row>
    <x:row r="629" ht="24" customHeight="1">
      <x:c r="A629" s="36"/>
      <x:c r="B629" s="34"/>
      <x:c r="C629" s="34"/>
      <x:c r="D629" s="34"/>
      <x:c r="E629" s="34"/>
      <x:c r="F629" s="35"/>
    </x:row>
    <x:row r="630" ht="24" customHeight="1">
      <x:c r="A630" s="36"/>
      <x:c r="B630" s="34"/>
      <x:c r="C630" s="34"/>
      <x:c r="D630" s="34"/>
      <x:c r="E630" s="34"/>
      <x:c r="F630" s="35"/>
    </x:row>
    <x:row r="631" ht="24" customHeight="1">
      <x:c r="A631" s="36"/>
      <x:c r="B631" s="34"/>
      <x:c r="C631" s="34"/>
      <x:c r="D631" s="34"/>
      <x:c r="E631" s="34"/>
      <x:c r="F631" s="35"/>
    </x:row>
    <x:row r="632" ht="24" customHeight="1">
      <x:c r="A632" s="36"/>
      <x:c r="B632" s="34"/>
      <x:c r="C632" s="34"/>
      <x:c r="D632" s="34"/>
      <x:c r="E632" s="34"/>
      <x:c r="F632" s="35"/>
    </x:row>
    <x:row r="633" ht="24" customHeight="1">
      <x:c r="A633" s="36"/>
      <x:c r="B633" s="34"/>
      <x:c r="C633" s="34"/>
      <x:c r="D633" s="34"/>
      <x:c r="E633" s="34"/>
      <x:c r="F633" s="35"/>
    </x:row>
    <x:row r="634" ht="24" customHeight="1">
      <x:c r="A634" s="36"/>
      <x:c r="B634" s="34"/>
      <x:c r="C634" s="34"/>
      <x:c r="D634" s="34"/>
      <x:c r="E634" s="34"/>
      <x:c r="F634" s="35"/>
    </x:row>
    <x:row r="635" ht="24" customHeight="1">
      <x:c r="A635" s="36"/>
      <x:c r="B635" s="34"/>
      <x:c r="C635" s="34"/>
      <x:c r="D635" s="34"/>
      <x:c r="E635" s="34"/>
      <x:c r="F635" s="35"/>
    </x:row>
    <x:row r="636" ht="24" customHeight="1">
      <x:c r="A636" s="36"/>
      <x:c r="B636" s="34"/>
      <x:c r="C636" s="34"/>
      <x:c r="D636" s="34"/>
      <x:c r="E636" s="34"/>
      <x:c r="F636" s="35"/>
    </x:row>
    <x:row r="637" ht="24" customHeight="1">
      <x:c r="A637" s="36"/>
      <x:c r="B637" s="34"/>
      <x:c r="C637" s="34"/>
      <x:c r="D637" s="34"/>
      <x:c r="E637" s="34"/>
      <x:c r="F637" s="35"/>
    </x:row>
    <x:row r="638" ht="24" customHeight="1">
      <x:c r="A638" s="36"/>
      <x:c r="B638" s="34"/>
      <x:c r="C638" s="34"/>
      <x:c r="D638" s="34"/>
      <x:c r="E638" s="34"/>
      <x:c r="F638" s="35"/>
    </x:row>
    <x:row r="639" ht="24" customHeight="1">
      <x:c r="A639" s="36"/>
      <x:c r="B639" s="34"/>
      <x:c r="C639" s="34"/>
      <x:c r="D639" s="34"/>
      <x:c r="E639" s="34"/>
      <x:c r="F639" s="35"/>
    </x:row>
    <x:row r="640" ht="24" customHeight="1">
      <x:c r="A640" s="36"/>
      <x:c r="B640" s="34"/>
      <x:c r="C640" s="34"/>
      <x:c r="D640" s="34"/>
      <x:c r="E640" s="34"/>
      <x:c r="F640" s="35"/>
    </x:row>
    <x:row r="641" ht="24" customHeight="1">
      <x:c r="A641" s="36"/>
      <x:c r="B641" s="34"/>
      <x:c r="C641" s="34"/>
      <x:c r="D641" s="34"/>
      <x:c r="E641" s="34"/>
      <x:c r="F641" s="35"/>
    </x:row>
    <x:row r="642" ht="24" customHeight="1">
      <x:c r="A642" s="36"/>
      <x:c r="B642" s="34"/>
      <x:c r="C642" s="34"/>
      <x:c r="D642" s="34"/>
      <x:c r="E642" s="34"/>
      <x:c r="F642" s="35"/>
    </x:row>
    <x:row r="643" ht="24" customHeight="1">
      <x:c r="A643" s="36"/>
      <x:c r="B643" s="34"/>
      <x:c r="C643" s="34"/>
      <x:c r="D643" s="34"/>
      <x:c r="E643" s="34"/>
      <x:c r="F643" s="35"/>
    </x:row>
    <x:row r="644" ht="24" customHeight="1">
      <x:c r="A644" s="36"/>
      <x:c r="B644" s="34"/>
      <x:c r="C644" s="34"/>
      <x:c r="D644" s="34"/>
      <x:c r="E644" s="34"/>
      <x:c r="F644" s="35"/>
    </x:row>
    <x:row r="645" ht="24" customHeight="1">
      <x:c r="A645" s="36"/>
      <x:c r="B645" s="34"/>
      <x:c r="C645" s="34"/>
      <x:c r="D645" s="34"/>
      <x:c r="E645" s="34"/>
      <x:c r="F645" s="35"/>
    </x:row>
    <x:row r="646" ht="24" customHeight="1">
      <x:c r="A646" s="36"/>
      <x:c r="B646" s="34"/>
      <x:c r="C646" s="34"/>
      <x:c r="D646" s="34"/>
      <x:c r="E646" s="34"/>
      <x:c r="F646" s="35"/>
    </x:row>
    <x:row r="647" ht="24" customHeight="1">
      <x:c r="A647" s="36"/>
      <x:c r="B647" s="34"/>
      <x:c r="C647" s="34"/>
      <x:c r="D647" s="34"/>
      <x:c r="E647" s="34"/>
      <x:c r="F647" s="35"/>
    </x:row>
    <x:row r="648" ht="24" customHeight="1">
      <x:c r="A648" s="36"/>
      <x:c r="B648" s="34"/>
      <x:c r="C648" s="34"/>
      <x:c r="D648" s="34"/>
      <x:c r="E648" s="34"/>
      <x:c r="F648" s="35"/>
    </x:row>
    <x:row r="649" ht="24" customHeight="1">
      <x:c r="A649" s="36"/>
      <x:c r="B649" s="34"/>
      <x:c r="C649" s="34"/>
      <x:c r="D649" s="34"/>
      <x:c r="E649" s="34"/>
      <x:c r="F649" s="35"/>
    </x:row>
    <x:row r="650" ht="24" customHeight="1">
      <x:c r="A650" s="36"/>
      <x:c r="B650" s="34"/>
      <x:c r="C650" s="34"/>
      <x:c r="D650" s="34"/>
      <x:c r="E650" s="34"/>
      <x:c r="F650" s="35"/>
    </x:row>
    <x:row r="651" ht="24" customHeight="1">
      <x:c r="A651" s="36"/>
      <x:c r="B651" s="34"/>
      <x:c r="C651" s="34"/>
      <x:c r="D651" s="34"/>
      <x:c r="E651" s="34"/>
      <x:c r="F651" s="35"/>
    </x:row>
    <x:row r="652" ht="24" customHeight="1">
      <x:c r="A652" s="36"/>
      <x:c r="B652" s="34"/>
      <x:c r="C652" s="34"/>
      <x:c r="D652" s="34"/>
      <x:c r="E652" s="34"/>
      <x:c r="F652" s="35"/>
    </x:row>
    <x:row r="653" ht="24" customHeight="1">
      <x:c r="A653" s="36"/>
      <x:c r="B653" s="34"/>
      <x:c r="C653" s="34"/>
      <x:c r="D653" s="34"/>
      <x:c r="E653" s="34"/>
      <x:c r="F653" s="35"/>
    </x:row>
    <x:row r="654" ht="24" customHeight="1">
      <x:c r="A654" s="36"/>
      <x:c r="B654" s="34"/>
      <x:c r="C654" s="34"/>
      <x:c r="D654" s="34"/>
      <x:c r="E654" s="34"/>
      <x:c r="F654" s="35"/>
    </x:row>
    <x:row r="655" ht="24" customHeight="1">
      <x:c r="A655" s="36"/>
      <x:c r="B655" s="34"/>
      <x:c r="C655" s="34"/>
      <x:c r="D655" s="34"/>
      <x:c r="E655" s="34"/>
      <x:c r="F655" s="35"/>
    </x:row>
    <x:row r="656" ht="24" customHeight="1">
      <x:c r="A656" s="36"/>
      <x:c r="B656" s="34"/>
      <x:c r="C656" s="34"/>
      <x:c r="D656" s="34"/>
      <x:c r="E656" s="34"/>
      <x:c r="F656" s="35"/>
    </x:row>
    <x:row r="657" ht="24" customHeight="1">
      <x:c r="A657" s="36"/>
      <x:c r="B657" s="34"/>
      <x:c r="C657" s="34"/>
      <x:c r="D657" s="34"/>
      <x:c r="E657" s="34"/>
      <x:c r="F657" s="35"/>
    </x:row>
    <x:row r="658" ht="24" customHeight="1">
      <x:c r="A658" s="36"/>
      <x:c r="B658" s="34"/>
      <x:c r="C658" s="34"/>
      <x:c r="D658" s="34"/>
      <x:c r="E658" s="34"/>
      <x:c r="F658" s="35"/>
    </x:row>
    <x:row r="659" ht="24" customHeight="1">
      <x:c r="A659" s="36"/>
      <x:c r="B659" s="34"/>
      <x:c r="C659" s="34"/>
      <x:c r="D659" s="34"/>
      <x:c r="E659" s="34"/>
      <x:c r="F659" s="35"/>
    </x:row>
    <x:row r="660" ht="24" customHeight="1">
      <x:c r="A660" s="36"/>
      <x:c r="B660" s="34"/>
      <x:c r="C660" s="34"/>
      <x:c r="D660" s="34"/>
      <x:c r="E660" s="34"/>
      <x:c r="F660" s="35"/>
    </x:row>
    <x:row r="661" ht="24" customHeight="1">
      <x:c r="A661" s="36"/>
      <x:c r="B661" s="34"/>
      <x:c r="C661" s="34"/>
      <x:c r="D661" s="34"/>
      <x:c r="E661" s="34"/>
      <x:c r="F661" s="35"/>
    </x:row>
    <x:row r="662" ht="24" customHeight="1">
      <x:c r="A662" s="36"/>
      <x:c r="B662" s="34"/>
      <x:c r="C662" s="34"/>
      <x:c r="D662" s="34"/>
      <x:c r="E662" s="34"/>
      <x:c r="F662" s="35"/>
    </x:row>
    <x:row r="663" ht="24" customHeight="1">
      <x:c r="A663" s="36"/>
      <x:c r="B663" s="34"/>
      <x:c r="C663" s="34"/>
      <x:c r="D663" s="34"/>
      <x:c r="E663" s="34"/>
      <x:c r="F663" s="35"/>
    </x:row>
    <x:row r="664" ht="24" customHeight="1">
      <x:c r="A664" s="36"/>
      <x:c r="B664" s="34"/>
      <x:c r="C664" s="34"/>
      <x:c r="D664" s="34"/>
      <x:c r="E664" s="34"/>
      <x:c r="F664" s="35"/>
    </x:row>
    <x:row r="665" ht="24" customHeight="1">
      <x:c r="A665" s="36"/>
      <x:c r="B665" s="34"/>
      <x:c r="C665" s="34"/>
      <x:c r="D665" s="34"/>
      <x:c r="E665" s="34"/>
      <x:c r="F665" s="35"/>
    </x:row>
    <x:row r="666" ht="24" customHeight="1">
      <x:c r="A666" s="36"/>
      <x:c r="B666" s="34"/>
      <x:c r="C666" s="34"/>
      <x:c r="D666" s="34"/>
      <x:c r="E666" s="34"/>
      <x:c r="F666" s="35"/>
    </x:row>
    <x:row r="667" ht="24" customHeight="1">
      <x:c r="A667" s="36"/>
      <x:c r="B667" s="34"/>
      <x:c r="C667" s="34"/>
      <x:c r="D667" s="34"/>
      <x:c r="E667" s="34"/>
      <x:c r="F667" s="35"/>
    </x:row>
    <x:row r="668" ht="24" customHeight="1">
      <x:c r="A668" s="36"/>
      <x:c r="B668" s="34"/>
      <x:c r="C668" s="34"/>
      <x:c r="D668" s="34"/>
      <x:c r="E668" s="34"/>
      <x:c r="F668" s="35"/>
    </x:row>
    <x:row r="669" ht="24" customHeight="1">
      <x:c r="A669" s="36"/>
      <x:c r="B669" s="34"/>
      <x:c r="C669" s="34"/>
      <x:c r="D669" s="34"/>
      <x:c r="E669" s="34"/>
      <x:c r="F669" s="35"/>
    </x:row>
    <x:row r="670" ht="24" customHeight="1">
      <x:c r="A670" s="36"/>
      <x:c r="B670" s="34"/>
      <x:c r="C670" s="34"/>
      <x:c r="D670" s="34"/>
      <x:c r="E670" s="34"/>
      <x:c r="F670" s="35"/>
    </x:row>
    <x:row r="671" ht="24" customHeight="1">
      <x:c r="A671" s="36"/>
      <x:c r="B671" s="34"/>
      <x:c r="C671" s="34"/>
      <x:c r="D671" s="34"/>
      <x:c r="E671" s="34"/>
      <x:c r="F671" s="35"/>
    </x:row>
    <x:row r="672" ht="24" customHeight="1">
      <x:c r="A672" s="36"/>
      <x:c r="B672" s="34"/>
      <x:c r="C672" s="34"/>
      <x:c r="D672" s="34"/>
      <x:c r="E672" s="34"/>
      <x:c r="F672" s="35"/>
    </x:row>
    <x:row r="673" ht="24" customHeight="1">
      <x:c r="A673" s="36"/>
      <x:c r="B673" s="34"/>
      <x:c r="C673" s="34"/>
      <x:c r="D673" s="34"/>
      <x:c r="E673" s="34"/>
      <x:c r="F673" s="35"/>
    </x:row>
    <x:row r="674" ht="24" customHeight="1">
      <x:c r="A674" s="36"/>
      <x:c r="B674" s="34"/>
      <x:c r="C674" s="34"/>
      <x:c r="D674" s="34"/>
      <x:c r="E674" s="34"/>
      <x:c r="F674" s="35"/>
    </x:row>
    <x:row r="675" ht="24" customHeight="1">
      <x:c r="A675" s="36"/>
      <x:c r="B675" s="34"/>
      <x:c r="C675" s="34"/>
      <x:c r="D675" s="34"/>
      <x:c r="E675" s="34"/>
      <x:c r="F675" s="35"/>
    </x:row>
    <x:row r="676" ht="24" customHeight="1">
      <x:c r="A676" s="36"/>
      <x:c r="B676" s="34"/>
      <x:c r="C676" s="34"/>
      <x:c r="D676" s="34"/>
      <x:c r="E676" s="34"/>
      <x:c r="F676" s="35"/>
    </x:row>
    <x:row r="677" ht="24" customHeight="1">
      <x:c r="A677" s="36"/>
      <x:c r="B677" s="34"/>
      <x:c r="C677" s="34"/>
      <x:c r="D677" s="34"/>
      <x:c r="E677" s="34"/>
      <x:c r="F677" s="35"/>
    </x:row>
    <x:row r="678" ht="24" customHeight="1">
      <x:c r="A678" s="36"/>
      <x:c r="B678" s="34"/>
      <x:c r="C678" s="34"/>
      <x:c r="D678" s="34"/>
      <x:c r="E678" s="34"/>
      <x:c r="F678" s="35"/>
    </x:row>
    <x:row r="679" ht="24" customHeight="1">
      <x:c r="A679" s="36"/>
      <x:c r="B679" s="34"/>
      <x:c r="C679" s="34"/>
      <x:c r="D679" s="34"/>
      <x:c r="E679" s="34"/>
      <x:c r="F679" s="35"/>
    </x:row>
    <x:row r="680" ht="24" customHeight="1">
      <x:c r="A680" s="36"/>
      <x:c r="B680" s="34"/>
      <x:c r="C680" s="34"/>
      <x:c r="D680" s="34"/>
      <x:c r="E680" s="34"/>
      <x:c r="F680" s="35"/>
    </x:row>
    <x:row r="681" ht="24" customHeight="1">
      <x:c r="A681" s="36"/>
      <x:c r="B681" s="34"/>
      <x:c r="C681" s="34"/>
      <x:c r="D681" s="34"/>
      <x:c r="E681" s="34"/>
      <x:c r="F681" s="35"/>
    </x:row>
    <x:row r="682" ht="24" customHeight="1">
      <x:c r="A682" s="36"/>
      <x:c r="B682" s="34"/>
      <x:c r="C682" s="34"/>
      <x:c r="D682" s="34"/>
      <x:c r="E682" s="34"/>
      <x:c r="F682" s="35"/>
    </x:row>
    <x:row r="683" ht="24" customHeight="1">
      <x:c r="A683" s="36"/>
      <x:c r="B683" s="34"/>
      <x:c r="C683" s="34"/>
      <x:c r="D683" s="34"/>
      <x:c r="E683" s="34"/>
      <x:c r="F683" s="35"/>
    </x:row>
    <x:row r="684" ht="24" customHeight="1">
      <x:c r="A684" s="36"/>
      <x:c r="B684" s="34"/>
      <x:c r="C684" s="34"/>
      <x:c r="D684" s="34"/>
      <x:c r="E684" s="34"/>
      <x:c r="F684" s="35"/>
    </x:row>
    <x:row r="685" ht="24" customHeight="1">
      <x:c r="A685" s="36"/>
      <x:c r="B685" s="34"/>
      <x:c r="C685" s="34"/>
      <x:c r="D685" s="34"/>
      <x:c r="E685" s="34"/>
      <x:c r="F685" s="35"/>
    </x:row>
    <x:row r="686" ht="24" customHeight="1">
      <x:c r="A686" s="36"/>
      <x:c r="B686" s="34"/>
      <x:c r="C686" s="34"/>
      <x:c r="D686" s="34"/>
      <x:c r="E686" s="34"/>
      <x:c r="F686" s="35"/>
    </x:row>
    <x:row r="687" ht="24" customHeight="1">
      <x:c r="A687" s="36"/>
      <x:c r="B687" s="34"/>
      <x:c r="C687" s="34"/>
      <x:c r="D687" s="34"/>
      <x:c r="E687" s="34"/>
      <x:c r="F687" s="35"/>
    </x:row>
    <x:row r="688" ht="24" customHeight="1">
      <x:c r="A688" s="36"/>
      <x:c r="B688" s="34"/>
      <x:c r="C688" s="34"/>
      <x:c r="D688" s="34"/>
      <x:c r="E688" s="34"/>
      <x:c r="F688" s="35"/>
    </x:row>
    <x:row r="689" ht="24" customHeight="1">
      <x:c r="A689" s="36"/>
      <x:c r="B689" s="34"/>
      <x:c r="C689" s="34"/>
      <x:c r="D689" s="34"/>
      <x:c r="E689" s="34"/>
      <x:c r="F689" s="35"/>
    </x:row>
    <x:row r="690" ht="24" customHeight="1">
      <x:c r="A690" s="36"/>
      <x:c r="B690" s="34"/>
      <x:c r="C690" s="34"/>
      <x:c r="D690" s="34"/>
      <x:c r="E690" s="34"/>
      <x:c r="F690" s="35"/>
    </x:row>
    <x:row r="691" ht="24" customHeight="1">
      <x:c r="A691" s="36"/>
      <x:c r="B691" s="34"/>
      <x:c r="C691" s="34"/>
      <x:c r="D691" s="34"/>
      <x:c r="E691" s="34"/>
      <x:c r="F691" s="35"/>
    </x:row>
    <x:row r="692" ht="24" customHeight="1">
      <x:c r="A692" s="36"/>
      <x:c r="B692" s="34"/>
      <x:c r="C692" s="34"/>
      <x:c r="D692" s="34"/>
      <x:c r="E692" s="34"/>
      <x:c r="F692" s="35"/>
    </x:row>
    <x:row r="693" ht="24" customHeight="1">
      <x:c r="A693" s="36"/>
      <x:c r="B693" s="34"/>
      <x:c r="C693" s="34"/>
      <x:c r="D693" s="34"/>
      <x:c r="E693" s="34"/>
      <x:c r="F693" s="35"/>
    </x:row>
    <x:row r="694" ht="24" customHeight="1">
      <x:c r="A694" s="36"/>
      <x:c r="B694" s="34"/>
      <x:c r="C694" s="34"/>
      <x:c r="D694" s="34"/>
      <x:c r="E694" s="34"/>
      <x:c r="F694" s="35"/>
    </x:row>
    <x:row r="695" ht="24" customHeight="1">
      <x:c r="A695" s="36"/>
      <x:c r="B695" s="34"/>
      <x:c r="C695" s="34"/>
      <x:c r="D695" s="34"/>
      <x:c r="E695" s="34"/>
      <x:c r="F695" s="35"/>
    </x:row>
    <x:row r="696" ht="24" customHeight="1">
      <x:c r="A696" s="36"/>
      <x:c r="B696" s="34"/>
      <x:c r="C696" s="34"/>
      <x:c r="D696" s="34"/>
      <x:c r="E696" s="34"/>
      <x:c r="F696" s="35"/>
    </x:row>
    <x:row r="697" ht="24" customHeight="1">
      <x:c r="A697" s="36"/>
      <x:c r="B697" s="34"/>
      <x:c r="C697" s="34"/>
      <x:c r="D697" s="34"/>
      <x:c r="E697" s="34"/>
      <x:c r="F697" s="35"/>
    </x:row>
    <x:row r="698" ht="24" customHeight="1">
      <x:c r="A698" s="36"/>
      <x:c r="B698" s="34"/>
      <x:c r="C698" s="34"/>
      <x:c r="D698" s="34"/>
      <x:c r="E698" s="34"/>
      <x:c r="F698" s="35"/>
    </x:row>
    <x:row r="699" ht="24" customHeight="1">
      <x:c r="A699" s="36"/>
      <x:c r="B699" s="34"/>
      <x:c r="C699" s="34"/>
      <x:c r="D699" s="34"/>
      <x:c r="E699" s="34"/>
      <x:c r="F699" s="35"/>
    </x:row>
    <x:row r="700" ht="24" customHeight="1">
      <x:c r="A700" s="36"/>
      <x:c r="B700" s="34"/>
      <x:c r="C700" s="34"/>
      <x:c r="D700" s="34"/>
      <x:c r="E700" s="34"/>
      <x:c r="F700" s="35"/>
    </x:row>
    <x:row r="701" ht="24" customHeight="1">
      <x:c r="A701" s="36"/>
      <x:c r="B701" s="34"/>
      <x:c r="C701" s="34"/>
      <x:c r="D701" s="34"/>
      <x:c r="E701" s="34"/>
      <x:c r="F701" s="35"/>
    </x:row>
    <x:row r="702" ht="24" customHeight="1">
      <x:c r="A702" s="36"/>
      <x:c r="B702" s="34"/>
      <x:c r="C702" s="34"/>
      <x:c r="D702" s="34"/>
      <x:c r="E702" s="34"/>
      <x:c r="F702" s="35"/>
    </x:row>
    <x:row r="703" ht="24" customHeight="1">
      <x:c r="A703" s="36"/>
      <x:c r="B703" s="34"/>
      <x:c r="C703" s="34"/>
      <x:c r="D703" s="34"/>
      <x:c r="E703" s="34"/>
      <x:c r="F703" s="35"/>
    </x:row>
    <x:row r="704" ht="24" customHeight="1">
      <x:c r="A704" s="36"/>
      <x:c r="B704" s="34"/>
      <x:c r="C704" s="34"/>
      <x:c r="D704" s="34"/>
      <x:c r="E704" s="34"/>
      <x:c r="F704" s="35"/>
    </x:row>
    <x:row r="705" ht="24" customHeight="1">
      <x:c r="A705" s="36"/>
      <x:c r="B705" s="34"/>
      <x:c r="C705" s="34"/>
      <x:c r="D705" s="34"/>
      <x:c r="E705" s="34"/>
      <x:c r="F705" s="35"/>
    </x:row>
    <x:row r="706" ht="24" customHeight="1">
      <x:c r="A706" s="36"/>
      <x:c r="B706" s="34"/>
      <x:c r="C706" s="34"/>
      <x:c r="D706" s="34"/>
      <x:c r="E706" s="34"/>
      <x:c r="F706" s="35"/>
    </x:row>
    <x:row r="707" ht="24" customHeight="1">
      <x:c r="A707" s="36"/>
      <x:c r="B707" s="34"/>
      <x:c r="C707" s="34"/>
      <x:c r="D707" s="34"/>
      <x:c r="E707" s="34"/>
      <x:c r="F707" s="35"/>
    </x:row>
    <x:row r="708" ht="24" customHeight="1">
      <x:c r="A708" s="36"/>
      <x:c r="B708" s="34"/>
      <x:c r="C708" s="34"/>
      <x:c r="D708" s="34"/>
      <x:c r="E708" s="34"/>
      <x:c r="F708" s="35"/>
    </x:row>
    <x:row r="709" ht="24" customHeight="1">
      <x:c r="A709" s="36"/>
      <x:c r="B709" s="34"/>
      <x:c r="C709" s="34"/>
      <x:c r="D709" s="34"/>
      <x:c r="E709" s="34"/>
      <x:c r="F709" s="35"/>
    </x:row>
    <x:row r="710" ht="24" customHeight="1">
      <x:c r="A710" s="36"/>
      <x:c r="B710" s="34"/>
      <x:c r="C710" s="34"/>
      <x:c r="D710" s="34"/>
      <x:c r="E710" s="34"/>
      <x:c r="F710" s="35"/>
    </x:row>
    <x:row r="711" ht="24" customHeight="1">
      <x:c r="A711" s="36"/>
      <x:c r="B711" s="34"/>
      <x:c r="C711" s="34"/>
      <x:c r="D711" s="34"/>
      <x:c r="E711" s="34"/>
      <x:c r="F711" s="35"/>
    </x:row>
    <x:row r="712" ht="24" customHeight="1">
      <x:c r="A712" s="36"/>
      <x:c r="B712" s="34"/>
      <x:c r="C712" s="34"/>
      <x:c r="D712" s="34"/>
      <x:c r="E712" s="34"/>
      <x:c r="F712" s="35"/>
    </x:row>
    <x:row r="713" ht="24" customHeight="1">
      <x:c r="A713" s="36"/>
      <x:c r="B713" s="34"/>
      <x:c r="C713" s="34"/>
      <x:c r="D713" s="34"/>
      <x:c r="E713" s="34"/>
      <x:c r="F713" s="35"/>
    </x:row>
    <x:row r="714" ht="24" customHeight="1">
      <x:c r="A714" s="36"/>
      <x:c r="B714" s="34"/>
      <x:c r="C714" s="34"/>
      <x:c r="D714" s="34"/>
      <x:c r="E714" s="34"/>
      <x:c r="F714" s="35"/>
    </x:row>
    <x:row r="715" ht="24" customHeight="1">
      <x:c r="A715" s="36"/>
      <x:c r="B715" s="34"/>
      <x:c r="C715" s="34"/>
      <x:c r="D715" s="34"/>
      <x:c r="E715" s="34"/>
      <x:c r="F715" s="35"/>
    </x:row>
    <x:row r="716" ht="24" customHeight="1">
      <x:c r="A716" s="36"/>
      <x:c r="B716" s="34"/>
      <x:c r="C716" s="34"/>
      <x:c r="D716" s="34"/>
      <x:c r="E716" s="34"/>
      <x:c r="F716" s="35"/>
    </x:row>
    <x:row r="717" ht="24" customHeight="1">
      <x:c r="A717" s="36"/>
      <x:c r="B717" s="34"/>
      <x:c r="C717" s="34"/>
      <x:c r="D717" s="34"/>
      <x:c r="E717" s="34"/>
      <x:c r="F717" s="35"/>
    </x:row>
    <x:row r="718" ht="24" customHeight="1">
      <x:c r="A718" s="36"/>
      <x:c r="B718" s="34"/>
      <x:c r="C718" s="34"/>
      <x:c r="D718" s="34"/>
      <x:c r="E718" s="34"/>
      <x:c r="F718" s="35"/>
    </x:row>
    <x:row r="719" ht="24" customHeight="1">
      <x:c r="A719" s="36"/>
      <x:c r="B719" s="34"/>
      <x:c r="C719" s="34"/>
      <x:c r="D719" s="34"/>
      <x:c r="E719" s="34"/>
      <x:c r="F719" s="35"/>
    </x:row>
    <x:row r="720" ht="24" customHeight="1">
      <x:c r="A720" s="36"/>
      <x:c r="B720" s="34"/>
      <x:c r="C720" s="34"/>
      <x:c r="D720" s="34"/>
      <x:c r="E720" s="34"/>
      <x:c r="F720" s="35"/>
    </x:row>
    <x:row r="721" ht="24" customHeight="1">
      <x:c r="A721" s="36"/>
      <x:c r="B721" s="34"/>
      <x:c r="C721" s="34"/>
      <x:c r="D721" s="34"/>
      <x:c r="E721" s="34"/>
      <x:c r="F721" s="35"/>
    </x:row>
    <x:row r="722" ht="24" customHeight="1">
      <x:c r="A722" s="36"/>
      <x:c r="B722" s="34"/>
      <x:c r="C722" s="34"/>
      <x:c r="D722" s="34"/>
      <x:c r="E722" s="34"/>
      <x:c r="F722" s="35"/>
    </x:row>
    <x:row r="723" ht="24" customHeight="1">
      <x:c r="A723" s="36"/>
      <x:c r="B723" s="34"/>
      <x:c r="C723" s="34"/>
      <x:c r="D723" s="34"/>
      <x:c r="E723" s="34"/>
      <x:c r="F723" s="35"/>
    </x:row>
    <x:row r="724" ht="24" customHeight="1">
      <x:c r="A724" s="36"/>
      <x:c r="B724" s="34"/>
      <x:c r="C724" s="34"/>
      <x:c r="D724" s="34"/>
      <x:c r="E724" s="34"/>
      <x:c r="F724" s="35"/>
    </x:row>
    <x:row r="725" ht="24" customHeight="1">
      <x:c r="A725" s="36"/>
      <x:c r="B725" s="34"/>
      <x:c r="C725" s="34"/>
      <x:c r="D725" s="34"/>
      <x:c r="E725" s="34"/>
      <x:c r="F725" s="35"/>
    </x:row>
    <x:row r="726" ht="24" customHeight="1">
      <x:c r="A726" s="36"/>
      <x:c r="B726" s="34"/>
      <x:c r="C726" s="34"/>
      <x:c r="D726" s="34"/>
      <x:c r="E726" s="34"/>
      <x:c r="F726" s="35"/>
    </x:row>
    <x:row r="727" ht="24" customHeight="1">
      <x:c r="A727" s="36"/>
      <x:c r="B727" s="34"/>
      <x:c r="C727" s="34"/>
      <x:c r="D727" s="34"/>
      <x:c r="E727" s="34"/>
      <x:c r="F727" s="35"/>
    </x:row>
    <x:row r="728" ht="24" customHeight="1">
      <x:c r="A728" s="36"/>
      <x:c r="B728" s="34"/>
      <x:c r="C728" s="34"/>
      <x:c r="D728" s="34"/>
      <x:c r="E728" s="34"/>
      <x:c r="F728" s="35"/>
    </x:row>
    <x:row r="729" ht="24" customHeight="1">
      <x:c r="A729" s="36"/>
      <x:c r="B729" s="34"/>
      <x:c r="C729" s="34"/>
      <x:c r="D729" s="34"/>
      <x:c r="E729" s="34"/>
      <x:c r="F729" s="35"/>
    </x:row>
    <x:row r="730" ht="24" customHeight="1">
      <x:c r="A730" s="36"/>
      <x:c r="B730" s="34"/>
      <x:c r="C730" s="34"/>
      <x:c r="D730" s="34"/>
      <x:c r="E730" s="34"/>
      <x:c r="F730" s="35"/>
    </x:row>
    <x:row r="731" ht="24" customHeight="1">
      <x:c r="A731" s="36"/>
      <x:c r="B731" s="34"/>
      <x:c r="C731" s="34"/>
      <x:c r="D731" s="34"/>
      <x:c r="E731" s="34"/>
      <x:c r="F731" s="35"/>
    </x:row>
    <x:row r="732" ht="24" customHeight="1">
      <x:c r="A732" s="36"/>
      <x:c r="B732" s="34"/>
      <x:c r="C732" s="34"/>
      <x:c r="D732" s="34"/>
      <x:c r="E732" s="34"/>
      <x:c r="F732" s="35"/>
    </x:row>
    <x:row r="733" ht="24" customHeight="1">
      <x:c r="A733" s="36"/>
      <x:c r="B733" s="34"/>
      <x:c r="C733" s="34"/>
      <x:c r="D733" s="34"/>
      <x:c r="E733" s="34"/>
      <x:c r="F733" s="35"/>
    </x:row>
    <x:row r="734" ht="24" customHeight="1">
      <x:c r="A734" s="36"/>
      <x:c r="B734" s="34"/>
      <x:c r="C734" s="34"/>
      <x:c r="D734" s="34"/>
      <x:c r="E734" s="34"/>
      <x:c r="F734" s="35"/>
    </x:row>
    <x:row r="735" ht="24" customHeight="1">
      <x:c r="A735" s="36"/>
      <x:c r="B735" s="34"/>
      <x:c r="C735" s="34"/>
      <x:c r="D735" s="34"/>
      <x:c r="E735" s="34"/>
      <x:c r="F735" s="35"/>
    </x:row>
    <x:row r="736" ht="24" customHeight="1">
      <x:c r="A736" s="36"/>
      <x:c r="B736" s="34"/>
      <x:c r="C736" s="34"/>
      <x:c r="D736" s="34"/>
      <x:c r="E736" s="34"/>
      <x:c r="F736" s="35"/>
    </x:row>
    <x:row r="737" ht="24" customHeight="1">
      <x:c r="A737" s="36"/>
      <x:c r="B737" s="34"/>
      <x:c r="C737" s="34"/>
      <x:c r="D737" s="34"/>
      <x:c r="E737" s="34"/>
      <x:c r="F737" s="35"/>
    </x:row>
    <x:row r="738" ht="24" customHeight="1">
      <x:c r="A738" s="36"/>
      <x:c r="B738" s="34"/>
      <x:c r="C738" s="34"/>
      <x:c r="D738" s="34"/>
      <x:c r="E738" s="34"/>
      <x:c r="F738" s="35"/>
    </x:row>
    <x:row r="739" ht="24" customHeight="1">
      <x:c r="A739" s="36"/>
      <x:c r="B739" s="34"/>
      <x:c r="C739" s="34"/>
      <x:c r="D739" s="34"/>
      <x:c r="E739" s="34"/>
      <x:c r="F739" s="35"/>
    </x:row>
    <x:row r="740" ht="24" customHeight="1">
      <x:c r="A740" s="36"/>
      <x:c r="B740" s="34"/>
      <x:c r="C740" s="34"/>
      <x:c r="D740" s="34"/>
      <x:c r="E740" s="34"/>
      <x:c r="F740" s="35"/>
    </x:row>
    <x:row r="741" ht="24" customHeight="1">
      <x:c r="A741" s="36"/>
      <x:c r="B741" s="34"/>
      <x:c r="C741" s="34"/>
      <x:c r="D741" s="34"/>
      <x:c r="E741" s="34"/>
      <x:c r="F741" s="35"/>
    </x:row>
    <x:row r="742" ht="24" customHeight="1">
      <x:c r="A742" s="36"/>
      <x:c r="B742" s="34"/>
      <x:c r="C742" s="34"/>
      <x:c r="D742" s="34"/>
      <x:c r="E742" s="34"/>
      <x:c r="F742" s="35"/>
    </x:row>
    <x:row r="743" ht="24" customHeight="1">
      <x:c r="A743" s="36"/>
      <x:c r="B743" s="34"/>
      <x:c r="C743" s="34"/>
      <x:c r="D743" s="34"/>
      <x:c r="E743" s="34"/>
      <x:c r="F743" s="35"/>
    </x:row>
    <x:row r="744" ht="24" customHeight="1">
      <x:c r="A744" s="36"/>
      <x:c r="B744" s="34"/>
      <x:c r="C744" s="34"/>
      <x:c r="D744" s="34"/>
      <x:c r="E744" s="34"/>
      <x:c r="F744" s="35"/>
    </x:row>
    <x:row r="745" ht="24" customHeight="1">
      <x:c r="A745" s="36"/>
      <x:c r="B745" s="34"/>
      <x:c r="C745" s="34"/>
      <x:c r="D745" s="34"/>
      <x:c r="E745" s="34"/>
      <x:c r="F745" s="35"/>
    </x:row>
    <x:row r="746" ht="24" customHeight="1">
      <x:c r="A746" s="36"/>
      <x:c r="B746" s="34"/>
      <x:c r="C746" s="34"/>
      <x:c r="D746" s="34"/>
      <x:c r="E746" s="34"/>
      <x:c r="F746" s="35"/>
    </x:row>
    <x:row r="747" ht="24" customHeight="1">
      <x:c r="A747" s="36"/>
      <x:c r="B747" s="34"/>
      <x:c r="C747" s="34"/>
      <x:c r="D747" s="34"/>
      <x:c r="E747" s="34"/>
      <x:c r="F747" s="35"/>
    </x:row>
    <x:row r="748" ht="24" customHeight="1">
      <x:c r="A748" s="36"/>
      <x:c r="B748" s="34"/>
      <x:c r="C748" s="34"/>
      <x:c r="D748" s="34"/>
      <x:c r="E748" s="34"/>
      <x:c r="F748" s="35"/>
    </x:row>
    <x:row r="749" ht="24" customHeight="1">
      <x:c r="A749" s="36"/>
      <x:c r="B749" s="34"/>
      <x:c r="C749" s="34"/>
      <x:c r="D749" s="34"/>
      <x:c r="E749" s="34"/>
      <x:c r="F749" s="35"/>
    </x:row>
    <x:row r="750" ht="24" customHeight="1">
      <x:c r="A750" s="36"/>
      <x:c r="B750" s="34"/>
      <x:c r="C750" s="34"/>
      <x:c r="D750" s="34"/>
      <x:c r="E750" s="34"/>
      <x:c r="F750" s="35"/>
    </x:row>
    <x:row r="751" ht="24" customHeight="1">
      <x:c r="A751" s="36"/>
      <x:c r="B751" s="34"/>
      <x:c r="C751" s="34"/>
      <x:c r="D751" s="34"/>
      <x:c r="E751" s="34"/>
      <x:c r="F751" s="35"/>
    </x:row>
    <x:row r="752" ht="24" customHeight="1">
      <x:c r="A752" s="36"/>
      <x:c r="B752" s="34"/>
      <x:c r="C752" s="34"/>
      <x:c r="D752" s="34"/>
      <x:c r="E752" s="34"/>
      <x:c r="F752" s="35"/>
    </x:row>
    <x:row r="753" ht="24" customHeight="1">
      <x:c r="A753" s="36"/>
      <x:c r="B753" s="34"/>
      <x:c r="C753" s="34"/>
      <x:c r="D753" s="34"/>
      <x:c r="E753" s="34"/>
      <x:c r="F753" s="35"/>
    </x:row>
    <x:row r="754" ht="24" customHeight="1">
      <x:c r="A754" s="36"/>
      <x:c r="B754" s="34"/>
      <x:c r="C754" s="34"/>
      <x:c r="D754" s="34"/>
      <x:c r="E754" s="34"/>
      <x:c r="F754" s="35"/>
    </x:row>
    <x:row r="755" ht="24" customHeight="1">
      <x:c r="A755" s="36"/>
      <x:c r="B755" s="34"/>
      <x:c r="C755" s="34"/>
      <x:c r="D755" s="34"/>
      <x:c r="E755" s="34"/>
      <x:c r="F755" s="35"/>
    </x:row>
    <x:row r="756" ht="24" customHeight="1">
      <x:c r="A756" s="36"/>
      <x:c r="B756" s="34"/>
      <x:c r="C756" s="34"/>
      <x:c r="D756" s="34"/>
      <x:c r="E756" s="34"/>
      <x:c r="F756" s="35"/>
    </x:row>
    <x:row r="757" ht="24" customHeight="1">
      <x:c r="A757" s="36"/>
      <x:c r="B757" s="34"/>
      <x:c r="C757" s="34"/>
      <x:c r="D757" s="34"/>
      <x:c r="E757" s="34"/>
      <x:c r="F757" s="35"/>
    </x:row>
    <x:row r="758" ht="24" customHeight="1">
      <x:c r="A758" s="36"/>
      <x:c r="B758" s="34"/>
      <x:c r="C758" s="34"/>
      <x:c r="D758" s="34"/>
      <x:c r="E758" s="34"/>
      <x:c r="F758" s="35"/>
    </x:row>
    <x:row r="759" ht="24" customHeight="1">
      <x:c r="A759" s="36"/>
      <x:c r="B759" s="34"/>
      <x:c r="C759" s="34"/>
      <x:c r="D759" s="34"/>
      <x:c r="E759" s="34"/>
      <x:c r="F759" s="35"/>
    </x:row>
    <x:row r="760" ht="24" customHeight="1">
      <x:c r="A760" s="36"/>
      <x:c r="B760" s="34"/>
      <x:c r="C760" s="34"/>
      <x:c r="D760" s="34"/>
      <x:c r="E760" s="34"/>
      <x:c r="F760" s="35"/>
    </x:row>
    <x:row r="761" ht="24" customHeight="1">
      <x:c r="A761" s="36"/>
      <x:c r="B761" s="34"/>
      <x:c r="C761" s="34"/>
      <x:c r="D761" s="34"/>
      <x:c r="E761" s="34"/>
      <x:c r="F761" s="35"/>
    </x:row>
    <x:row r="762" ht="24" customHeight="1">
      <x:c r="A762" s="36"/>
      <x:c r="B762" s="34"/>
      <x:c r="C762" s="34"/>
      <x:c r="D762" s="34"/>
      <x:c r="E762" s="34"/>
      <x:c r="F762" s="35"/>
    </x:row>
    <x:row r="763" ht="24" customHeight="1">
      <x:c r="A763" s="36"/>
      <x:c r="B763" s="34"/>
      <x:c r="C763" s="34"/>
      <x:c r="D763" s="34"/>
      <x:c r="E763" s="34"/>
      <x:c r="F763" s="35"/>
    </x:row>
    <x:row r="764" ht="24" customHeight="1">
      <x:c r="A764" s="36"/>
      <x:c r="B764" s="34"/>
      <x:c r="C764" s="34"/>
      <x:c r="D764" s="34"/>
      <x:c r="E764" s="34"/>
      <x:c r="F764" s="35"/>
    </x:row>
    <x:row r="765" ht="24" customHeight="1">
      <x:c r="A765" s="36"/>
      <x:c r="B765" s="34"/>
      <x:c r="C765" s="34"/>
      <x:c r="D765" s="34"/>
      <x:c r="E765" s="34"/>
      <x:c r="F765" s="35"/>
    </x:row>
    <x:row r="766" ht="24" customHeight="1">
      <x:c r="A766" s="36"/>
      <x:c r="B766" s="34"/>
      <x:c r="C766" s="34"/>
      <x:c r="D766" s="34"/>
      <x:c r="E766" s="34"/>
      <x:c r="F766" s="35"/>
    </x:row>
    <x:row r="767" ht="24" customHeight="1">
      <x:c r="A767" s="36"/>
      <x:c r="B767" s="34"/>
      <x:c r="C767" s="34"/>
      <x:c r="D767" s="34"/>
      <x:c r="E767" s="34"/>
      <x:c r="F767" s="35"/>
    </x:row>
    <x:row r="768" ht="24" customHeight="1">
      <x:c r="A768" s="36"/>
      <x:c r="B768" s="34"/>
      <x:c r="C768" s="34"/>
      <x:c r="D768" s="34"/>
      <x:c r="E768" s="34"/>
      <x:c r="F768" s="35"/>
    </x:row>
    <x:row r="769" ht="24" customHeight="1">
      <x:c r="A769" s="36"/>
      <x:c r="B769" s="34"/>
      <x:c r="C769" s="34"/>
      <x:c r="D769" s="34"/>
      <x:c r="E769" s="34"/>
      <x:c r="F769" s="35"/>
    </x:row>
    <x:row r="770" ht="24" customHeight="1">
      <x:c r="A770" s="36"/>
      <x:c r="B770" s="34"/>
      <x:c r="C770" s="34"/>
      <x:c r="D770" s="34"/>
      <x:c r="E770" s="34"/>
      <x:c r="F770" s="35"/>
    </x:row>
    <x:row r="771" ht="24" customHeight="1">
      <x:c r="A771" s="36"/>
      <x:c r="B771" s="34"/>
      <x:c r="C771" s="34"/>
      <x:c r="D771" s="34"/>
      <x:c r="E771" s="34"/>
      <x:c r="F771" s="35"/>
    </x:row>
    <x:row r="772" ht="24" customHeight="1">
      <x:c r="A772" s="36"/>
      <x:c r="B772" s="34"/>
      <x:c r="C772" s="34"/>
      <x:c r="D772" s="34"/>
      <x:c r="E772" s="34"/>
      <x:c r="F772" s="35"/>
    </x:row>
    <x:row r="773" ht="24" customHeight="1">
      <x:c r="A773" s="36"/>
      <x:c r="B773" s="34"/>
      <x:c r="C773" s="34"/>
      <x:c r="D773" s="34"/>
      <x:c r="E773" s="34"/>
      <x:c r="F773" s="35"/>
    </x:row>
    <x:row r="774" ht="24" customHeight="1">
      <x:c r="A774" s="36"/>
      <x:c r="B774" s="34"/>
      <x:c r="C774" s="34"/>
      <x:c r="D774" s="34"/>
      <x:c r="E774" s="34"/>
      <x:c r="F774" s="35"/>
    </x:row>
    <x:row r="775" ht="24" customHeight="1">
      <x:c r="A775" s="36"/>
      <x:c r="B775" s="34"/>
      <x:c r="C775" s="34"/>
      <x:c r="D775" s="34"/>
      <x:c r="E775" s="34"/>
      <x:c r="F775" s="35"/>
    </x:row>
    <x:row r="776" ht="24" customHeight="1">
      <x:c r="A776" s="36"/>
      <x:c r="B776" s="34"/>
      <x:c r="C776" s="34"/>
      <x:c r="D776" s="34"/>
      <x:c r="E776" s="34"/>
      <x:c r="F776" s="35"/>
    </x:row>
    <x:row r="777" ht="24" customHeight="1">
      <x:c r="A777" s="36"/>
      <x:c r="B777" s="34"/>
      <x:c r="C777" s="34"/>
      <x:c r="D777" s="34"/>
      <x:c r="E777" s="34"/>
      <x:c r="F777" s="35"/>
    </x:row>
    <x:row r="778" ht="24" customHeight="1">
      <x:c r="A778" s="36"/>
      <x:c r="B778" s="34"/>
      <x:c r="C778" s="34"/>
      <x:c r="D778" s="34"/>
      <x:c r="E778" s="34"/>
      <x:c r="F778" s="35"/>
    </x:row>
    <x:row r="779" ht="24" customHeight="1">
      <x:c r="A779" s="36"/>
      <x:c r="B779" s="34"/>
      <x:c r="C779" s="34"/>
      <x:c r="D779" s="34"/>
      <x:c r="E779" s="34"/>
      <x:c r="F779" s="35"/>
    </x:row>
    <x:row r="780" ht="24" customHeight="1">
      <x:c r="A780" s="36"/>
      <x:c r="B780" s="34"/>
      <x:c r="C780" s="34"/>
      <x:c r="D780" s="34"/>
      <x:c r="E780" s="34"/>
      <x:c r="F780" s="35"/>
    </x:row>
    <x:row r="781" ht="24" customHeight="1">
      <x:c r="A781" s="36"/>
      <x:c r="B781" s="34"/>
      <x:c r="C781" s="34"/>
      <x:c r="D781" s="34"/>
      <x:c r="E781" s="34"/>
      <x:c r="F781" s="35"/>
    </x:row>
    <x:row r="782" ht="24" customHeight="1">
      <x:c r="A782" s="36"/>
      <x:c r="B782" s="34"/>
      <x:c r="C782" s="34"/>
      <x:c r="D782" s="34"/>
      <x:c r="E782" s="34"/>
      <x:c r="F782" s="35"/>
    </x:row>
    <x:row r="783" ht="24" customHeight="1">
      <x:c r="A783" s="36"/>
      <x:c r="B783" s="34"/>
      <x:c r="C783" s="34"/>
      <x:c r="D783" s="34"/>
      <x:c r="E783" s="34"/>
      <x:c r="F783" s="35"/>
    </x:row>
    <x:row r="784" ht="24" customHeight="1">
      <x:c r="A784" s="36"/>
      <x:c r="B784" s="34"/>
      <x:c r="C784" s="34"/>
      <x:c r="D784" s="34"/>
      <x:c r="E784" s="34"/>
      <x:c r="F784" s="35"/>
    </x:row>
    <x:row r="785" ht="24" customHeight="1">
      <x:c r="A785" s="36"/>
      <x:c r="B785" s="34"/>
      <x:c r="C785" s="34"/>
      <x:c r="D785" s="34"/>
      <x:c r="E785" s="34"/>
      <x:c r="F785" s="35"/>
    </x:row>
    <x:row r="786" ht="24" customHeight="1">
      <x:c r="A786" s="36"/>
      <x:c r="B786" s="34"/>
      <x:c r="C786" s="34"/>
      <x:c r="D786" s="34"/>
      <x:c r="E786" s="34"/>
      <x:c r="F786" s="35"/>
    </x:row>
    <x:row r="787" ht="24" customHeight="1">
      <x:c r="A787" s="36"/>
      <x:c r="B787" s="34"/>
      <x:c r="C787" s="34"/>
      <x:c r="D787" s="34"/>
      <x:c r="E787" s="34"/>
      <x:c r="F787" s="35"/>
    </x:row>
    <x:row r="788" ht="24" customHeight="1">
      <x:c r="A788" s="36"/>
      <x:c r="B788" s="34"/>
      <x:c r="C788" s="34"/>
      <x:c r="D788" s="34"/>
      <x:c r="E788" s="34"/>
      <x:c r="F788" s="35"/>
    </x:row>
    <x:row r="789" ht="24" customHeight="1">
      <x:c r="A789" s="36"/>
      <x:c r="B789" s="34"/>
      <x:c r="C789" s="34"/>
      <x:c r="D789" s="34"/>
      <x:c r="E789" s="34"/>
      <x:c r="F789" s="35"/>
    </x:row>
    <x:row r="790" ht="24" customHeight="1">
      <x:c r="A790" s="36"/>
      <x:c r="B790" s="34"/>
      <x:c r="C790" s="34"/>
      <x:c r="D790" s="34"/>
      <x:c r="E790" s="34"/>
      <x:c r="F790" s="35"/>
    </x:row>
    <x:row r="791" ht="24" customHeight="1">
      <x:c r="A791" s="36"/>
      <x:c r="B791" s="34"/>
      <x:c r="C791" s="34"/>
      <x:c r="D791" s="34"/>
      <x:c r="E791" s="34"/>
      <x:c r="F791" s="35"/>
    </x:row>
    <x:row r="792" ht="24" customHeight="1">
      <x:c r="A792" s="36"/>
      <x:c r="B792" s="34"/>
      <x:c r="C792" s="34"/>
      <x:c r="D792" s="34"/>
      <x:c r="E792" s="34"/>
      <x:c r="F792" s="35"/>
    </x:row>
    <x:row r="793" ht="24" customHeight="1">
      <x:c r="A793" s="36"/>
      <x:c r="B793" s="34"/>
      <x:c r="C793" s="34"/>
      <x:c r="D793" s="34"/>
      <x:c r="E793" s="34"/>
      <x:c r="F793" s="35"/>
    </x:row>
    <x:row r="794" ht="24" customHeight="1">
      <x:c r="A794" s="36"/>
      <x:c r="B794" s="34"/>
      <x:c r="C794" s="34"/>
      <x:c r="D794" s="34"/>
      <x:c r="E794" s="34"/>
      <x:c r="F794" s="35"/>
    </x:row>
    <x:row r="795" ht="24" customHeight="1">
      <x:c r="A795" s="36"/>
      <x:c r="B795" s="34"/>
      <x:c r="C795" s="34"/>
      <x:c r="D795" s="34"/>
      <x:c r="E795" s="34"/>
      <x:c r="F795" s="35"/>
    </x:row>
    <x:row r="796" ht="24" customHeight="1">
      <x:c r="A796" s="36"/>
      <x:c r="B796" s="34"/>
      <x:c r="C796" s="34"/>
      <x:c r="D796" s="34"/>
      <x:c r="E796" s="34"/>
      <x:c r="F796" s="35"/>
    </x:row>
    <x:row r="797" ht="24" customHeight="1">
      <x:c r="A797" s="36"/>
      <x:c r="B797" s="34"/>
      <x:c r="C797" s="34"/>
      <x:c r="D797" s="34"/>
      <x:c r="E797" s="34"/>
      <x:c r="F797" s="35"/>
    </x:row>
    <x:row r="798" ht="24" customHeight="1">
      <x:c r="A798" s="36"/>
      <x:c r="B798" s="34"/>
      <x:c r="C798" s="34"/>
      <x:c r="D798" s="34"/>
      <x:c r="E798" s="34"/>
      <x:c r="F798" s="35"/>
    </x:row>
    <x:row r="799" ht="24" customHeight="1">
      <x:c r="A799" s="36"/>
      <x:c r="B799" s="34"/>
      <x:c r="C799" s="34"/>
      <x:c r="D799" s="34"/>
      <x:c r="E799" s="34"/>
      <x:c r="F799" s="35"/>
    </x:row>
    <x:row r="800" ht="24" customHeight="1">
      <x:c r="A800" s="36"/>
      <x:c r="B800" s="34"/>
      <x:c r="C800" s="34"/>
      <x:c r="D800" s="34"/>
      <x:c r="E800" s="34"/>
      <x:c r="F800" s="35"/>
    </x:row>
    <x:row r="801" ht="24" customHeight="1">
      <x:c r="A801" s="36"/>
      <x:c r="B801" s="34"/>
      <x:c r="C801" s="34"/>
      <x:c r="D801" s="34"/>
      <x:c r="E801" s="34"/>
      <x:c r="F801" s="35"/>
    </x:row>
    <x:row r="802" ht="24" customHeight="1">
      <x:c r="A802" s="36"/>
      <x:c r="B802" s="34"/>
      <x:c r="C802" s="34"/>
      <x:c r="D802" s="34"/>
      <x:c r="E802" s="34"/>
      <x:c r="F802" s="35"/>
    </x:row>
    <x:row r="803" ht="24" customHeight="1">
      <x:c r="A803" s="36"/>
      <x:c r="B803" s="34"/>
      <x:c r="C803" s="34"/>
      <x:c r="D803" s="34"/>
      <x:c r="E803" s="34"/>
      <x:c r="F803" s="35"/>
    </x:row>
    <x:row r="804" ht="24" customHeight="1">
      <x:c r="A804" s="36"/>
      <x:c r="B804" s="34"/>
      <x:c r="C804" s="34"/>
      <x:c r="D804" s="34"/>
      <x:c r="E804" s="34"/>
      <x:c r="F804" s="35"/>
    </x:row>
    <x:row r="805" ht="24" customHeight="1">
      <x:c r="A805" s="36"/>
      <x:c r="B805" s="34"/>
      <x:c r="C805" s="34"/>
      <x:c r="D805" s="34"/>
      <x:c r="E805" s="34"/>
      <x:c r="F805" s="35"/>
    </x:row>
    <x:row r="806" ht="24" customHeight="1">
      <x:c r="A806" s="36"/>
      <x:c r="B806" s="34"/>
      <x:c r="C806" s="34"/>
      <x:c r="D806" s="34"/>
      <x:c r="E806" s="34"/>
      <x:c r="F806" s="35"/>
    </x:row>
    <x:row r="807" ht="24" customHeight="1">
      <x:c r="A807" s="36"/>
      <x:c r="B807" s="34"/>
      <x:c r="C807" s="34"/>
      <x:c r="D807" s="34"/>
      <x:c r="E807" s="34"/>
      <x:c r="F807" s="35"/>
    </x:row>
    <x:row r="808" ht="24" customHeight="1">
      <x:c r="A808" s="36"/>
      <x:c r="B808" s="34"/>
      <x:c r="C808" s="34"/>
      <x:c r="D808" s="34"/>
      <x:c r="E808" s="34"/>
      <x:c r="F808" s="35"/>
    </x:row>
    <x:row r="809" ht="24" customHeight="1">
      <x:c r="A809" s="36"/>
      <x:c r="B809" s="34"/>
      <x:c r="C809" s="34"/>
      <x:c r="D809" s="34"/>
      <x:c r="E809" s="34"/>
      <x:c r="F809" s="35"/>
    </x:row>
    <x:row r="810" ht="24" customHeight="1">
      <x:c r="A810" s="36"/>
      <x:c r="B810" s="34"/>
      <x:c r="C810" s="34"/>
      <x:c r="D810" s="34"/>
      <x:c r="E810" s="34"/>
      <x:c r="F810" s="35"/>
    </x:row>
    <x:row r="811" ht="24" customHeight="1">
      <x:c r="A811" s="36"/>
      <x:c r="B811" s="34"/>
      <x:c r="C811" s="34"/>
      <x:c r="D811" s="34"/>
      <x:c r="E811" s="34"/>
      <x:c r="F811" s="35"/>
    </x:row>
    <x:row r="812" ht="24" customHeight="1">
      <x:c r="A812" s="36"/>
      <x:c r="B812" s="34"/>
      <x:c r="C812" s="34"/>
      <x:c r="D812" s="34"/>
      <x:c r="E812" s="34"/>
      <x:c r="F812" s="35"/>
    </x:row>
    <x:row r="813" ht="24" customHeight="1">
      <x:c r="A813" s="36"/>
      <x:c r="B813" s="34"/>
      <x:c r="C813" s="34"/>
      <x:c r="D813" s="34"/>
      <x:c r="E813" s="34"/>
      <x:c r="F813" s="35"/>
    </x:row>
    <x:row r="814" ht="24" customHeight="1">
      <x:c r="A814" s="36"/>
      <x:c r="B814" s="34"/>
      <x:c r="C814" s="34"/>
      <x:c r="D814" s="34"/>
      <x:c r="E814" s="34"/>
      <x:c r="F814" s="35"/>
    </x:row>
    <x:row r="815" ht="24" customHeight="1">
      <x:c r="A815" s="36"/>
      <x:c r="B815" s="34"/>
      <x:c r="C815" s="34"/>
      <x:c r="D815" s="34"/>
      <x:c r="E815" s="34"/>
      <x:c r="F815" s="35"/>
    </x:row>
    <x:row r="816" ht="24" customHeight="1">
      <x:c r="A816" s="36"/>
      <x:c r="B816" s="34"/>
      <x:c r="C816" s="34"/>
      <x:c r="D816" s="34"/>
      <x:c r="E816" s="34"/>
      <x:c r="F816" s="35"/>
    </x:row>
    <x:row r="817" ht="24" customHeight="1">
      <x:c r="A817" s="36"/>
      <x:c r="B817" s="34"/>
      <x:c r="C817" s="34"/>
      <x:c r="D817" s="34"/>
      <x:c r="E817" s="34"/>
      <x:c r="F817" s="35"/>
    </x:row>
    <x:row r="818" ht="24" customHeight="1">
      <x:c r="A818" s="36"/>
      <x:c r="B818" s="34"/>
      <x:c r="C818" s="34"/>
      <x:c r="D818" s="34"/>
      <x:c r="E818" s="34"/>
      <x:c r="F818" s="35"/>
    </x:row>
    <x:row r="819" ht="24" customHeight="1">
      <x:c r="A819" s="36"/>
      <x:c r="B819" s="34"/>
      <x:c r="C819" s="34"/>
      <x:c r="D819" s="34"/>
      <x:c r="E819" s="34"/>
      <x:c r="F819" s="35"/>
    </x:row>
    <x:row r="820" ht="24" customHeight="1">
      <x:c r="A820" s="36"/>
      <x:c r="B820" s="34"/>
      <x:c r="C820" s="34"/>
      <x:c r="D820" s="34"/>
      <x:c r="E820" s="34"/>
      <x:c r="F820" s="35"/>
    </x:row>
    <x:row r="821" ht="24" customHeight="1">
      <x:c r="A821" s="36"/>
      <x:c r="B821" s="34"/>
      <x:c r="C821" s="34"/>
      <x:c r="D821" s="34"/>
      <x:c r="E821" s="34"/>
      <x:c r="F821" s="35"/>
    </x:row>
    <x:row r="822" ht="24" customHeight="1">
      <x:c r="A822" s="36"/>
      <x:c r="B822" s="34"/>
      <x:c r="C822" s="34"/>
      <x:c r="D822" s="34"/>
      <x:c r="E822" s="34"/>
      <x:c r="F822" s="35"/>
    </x:row>
    <x:row r="823" ht="24" customHeight="1">
      <x:c r="A823" s="36"/>
      <x:c r="B823" s="34"/>
      <x:c r="C823" s="34"/>
      <x:c r="D823" s="34"/>
      <x:c r="E823" s="34"/>
      <x:c r="F823" s="35"/>
    </x:row>
    <x:row r="824" ht="24" customHeight="1">
      <x:c r="A824" s="36"/>
      <x:c r="B824" s="34"/>
      <x:c r="C824" s="34"/>
      <x:c r="D824" s="34"/>
      <x:c r="E824" s="34"/>
      <x:c r="F824" s="35"/>
    </x:row>
    <x:row r="825" ht="24" customHeight="1">
      <x:c r="A825" s="36"/>
      <x:c r="B825" s="34"/>
      <x:c r="C825" s="34"/>
      <x:c r="D825" s="34"/>
      <x:c r="E825" s="34"/>
      <x:c r="F825" s="35"/>
    </x:row>
    <x:row r="826" ht="24" customHeight="1">
      <x:c r="A826" s="36"/>
      <x:c r="B826" s="34"/>
      <x:c r="C826" s="34"/>
      <x:c r="D826" s="34"/>
      <x:c r="E826" s="34"/>
      <x:c r="F826" s="35"/>
    </x:row>
    <x:row r="827" ht="24" customHeight="1">
      <x:c r="A827" s="36"/>
      <x:c r="B827" s="34"/>
      <x:c r="C827" s="34"/>
      <x:c r="D827" s="34"/>
      <x:c r="E827" s="34"/>
      <x:c r="F827" s="35"/>
    </x:row>
    <x:row r="828" ht="24" customHeight="1">
      <x:c r="A828" s="36"/>
      <x:c r="B828" s="34"/>
      <x:c r="C828" s="34"/>
      <x:c r="D828" s="34"/>
      <x:c r="E828" s="34"/>
      <x:c r="F828" s="35"/>
    </x:row>
    <x:row r="829" ht="24" customHeight="1">
      <x:c r="A829" s="36"/>
      <x:c r="B829" s="34"/>
      <x:c r="C829" s="34"/>
      <x:c r="D829" s="34"/>
      <x:c r="E829" s="34"/>
      <x:c r="F829" s="35"/>
    </x:row>
    <x:row r="830" ht="24" customHeight="1">
      <x:c r="A830" s="36"/>
      <x:c r="B830" s="34"/>
      <x:c r="C830" s="34"/>
      <x:c r="D830" s="34"/>
      <x:c r="E830" s="34"/>
      <x:c r="F830" s="35"/>
    </x:row>
    <x:row r="831" ht="24" customHeight="1">
      <x:c r="A831" s="36"/>
      <x:c r="B831" s="34"/>
      <x:c r="C831" s="34"/>
      <x:c r="D831" s="34"/>
      <x:c r="E831" s="34"/>
      <x:c r="F831" s="35"/>
    </x:row>
    <x:row r="832" ht="24" customHeight="1">
      <x:c r="A832" s="36"/>
      <x:c r="B832" s="34"/>
      <x:c r="C832" s="34"/>
      <x:c r="D832" s="34"/>
      <x:c r="E832" s="34"/>
      <x:c r="F832" s="35"/>
    </x:row>
    <x:row r="833" ht="24" customHeight="1">
      <x:c r="A833" s="36"/>
      <x:c r="B833" s="34"/>
      <x:c r="C833" s="34"/>
      <x:c r="D833" s="34"/>
      <x:c r="E833" s="34"/>
      <x:c r="F833" s="35"/>
    </x:row>
    <x:row r="834" ht="24" customHeight="1">
      <x:c r="A834" s="36"/>
      <x:c r="B834" s="34"/>
      <x:c r="C834" s="34"/>
      <x:c r="D834" s="34"/>
      <x:c r="E834" s="34"/>
      <x:c r="F834" s="35"/>
    </x:row>
    <x:row r="835" ht="24" customHeight="1">
      <x:c r="A835" s="36"/>
      <x:c r="B835" s="34"/>
      <x:c r="C835" s="34"/>
      <x:c r="D835" s="34"/>
      <x:c r="E835" s="34"/>
      <x:c r="F835" s="35"/>
    </x:row>
    <x:row r="836" ht="24" customHeight="1">
      <x:c r="A836" s="36"/>
      <x:c r="B836" s="34"/>
      <x:c r="C836" s="34"/>
      <x:c r="D836" s="34"/>
      <x:c r="E836" s="34"/>
      <x:c r="F836" s="35"/>
    </x:row>
    <x:row r="837" ht="24" customHeight="1">
      <x:c r="A837" s="36"/>
      <x:c r="B837" s="34"/>
      <x:c r="C837" s="34"/>
      <x:c r="D837" s="34"/>
      <x:c r="E837" s="34"/>
      <x:c r="F837" s="35"/>
    </x:row>
    <x:row r="838" ht="24" customHeight="1">
      <x:c r="A838" s="36"/>
      <x:c r="B838" s="34"/>
      <x:c r="C838" s="34"/>
      <x:c r="D838" s="34"/>
      <x:c r="E838" s="34"/>
      <x:c r="F838" s="35"/>
    </x:row>
    <x:row r="839" ht="24" customHeight="1">
      <x:c r="A839" s="36"/>
      <x:c r="B839" s="34"/>
      <x:c r="C839" s="34"/>
      <x:c r="D839" s="34"/>
      <x:c r="E839" s="34"/>
      <x:c r="F839" s="35"/>
    </x:row>
    <x:row r="840" ht="24" customHeight="1">
      <x:c r="A840" s="36"/>
      <x:c r="B840" s="34"/>
      <x:c r="C840" s="34"/>
      <x:c r="D840" s="34"/>
      <x:c r="E840" s="34"/>
      <x:c r="F840" s="35"/>
    </x:row>
    <x:row r="841" ht="24" customHeight="1">
      <x:c r="A841" s="36"/>
      <x:c r="B841" s="34"/>
      <x:c r="C841" s="34"/>
      <x:c r="D841" s="34"/>
      <x:c r="E841" s="34"/>
      <x:c r="F841" s="35"/>
    </x:row>
    <x:row r="842" ht="24" customHeight="1">
      <x:c r="A842" s="36"/>
      <x:c r="B842" s="34"/>
      <x:c r="C842" s="34"/>
      <x:c r="D842" s="34"/>
      <x:c r="E842" s="34"/>
      <x:c r="F842" s="35"/>
    </x:row>
    <x:row r="843" ht="24" customHeight="1">
      <x:c r="A843" s="36"/>
      <x:c r="B843" s="34"/>
      <x:c r="C843" s="34"/>
      <x:c r="D843" s="34"/>
      <x:c r="E843" s="34"/>
      <x:c r="F843" s="35"/>
    </x:row>
    <x:row r="844" ht="24" customHeight="1">
      <x:c r="A844" s="36"/>
      <x:c r="B844" s="34"/>
      <x:c r="C844" s="34"/>
      <x:c r="D844" s="34"/>
      <x:c r="E844" s="34"/>
      <x:c r="F844" s="35"/>
    </x:row>
    <x:row r="845" ht="24" customHeight="1">
      <x:c r="A845" s="36"/>
      <x:c r="B845" s="34"/>
      <x:c r="C845" s="34"/>
      <x:c r="D845" s="34"/>
      <x:c r="E845" s="34"/>
      <x:c r="F845" s="35"/>
    </x:row>
    <x:row r="846" ht="24" customHeight="1">
      <x:c r="A846" s="36"/>
      <x:c r="B846" s="34"/>
      <x:c r="C846" s="34"/>
      <x:c r="D846" s="34"/>
      <x:c r="E846" s="34"/>
      <x:c r="F846" s="35"/>
    </x:row>
    <x:row r="847" ht="24" customHeight="1">
      <x:c r="A847" s="36"/>
      <x:c r="B847" s="34"/>
      <x:c r="C847" s="34"/>
      <x:c r="D847" s="34"/>
      <x:c r="E847" s="34"/>
      <x:c r="F847" s="35"/>
    </x:row>
    <x:row r="848" ht="24" customHeight="1">
      <x:c r="A848" s="36"/>
      <x:c r="B848" s="34"/>
      <x:c r="C848" s="34"/>
      <x:c r="D848" s="34"/>
      <x:c r="E848" s="34"/>
      <x:c r="F848" s="35"/>
    </x:row>
    <x:row r="849" ht="24" customHeight="1">
      <x:c r="A849" s="36"/>
      <x:c r="B849" s="34"/>
      <x:c r="C849" s="34"/>
      <x:c r="D849" s="34"/>
      <x:c r="E849" s="34"/>
      <x:c r="F849" s="35"/>
    </x:row>
    <x:row r="850" ht="24" customHeight="1">
      <x:c r="A850" s="36"/>
      <x:c r="B850" s="34"/>
      <x:c r="C850" s="34"/>
      <x:c r="D850" s="34"/>
      <x:c r="E850" s="34"/>
      <x:c r="F850" s="35"/>
    </x:row>
    <x:row r="851" ht="24" customHeight="1">
      <x:c r="A851" s="36"/>
      <x:c r="B851" s="34"/>
      <x:c r="C851" s="34"/>
      <x:c r="D851" s="34"/>
      <x:c r="E851" s="34"/>
      <x:c r="F851" s="35"/>
    </x:row>
    <x:row r="852" ht="24" customHeight="1">
      <x:c r="A852" s="36"/>
      <x:c r="B852" s="34"/>
      <x:c r="C852" s="34"/>
      <x:c r="D852" s="34"/>
      <x:c r="E852" s="34"/>
      <x:c r="F852" s="35"/>
    </x:row>
    <x:row r="853" ht="24" customHeight="1">
      <x:c r="A853" s="36"/>
      <x:c r="B853" s="34"/>
      <x:c r="C853" s="34"/>
      <x:c r="D853" s="34"/>
      <x:c r="E853" s="34"/>
      <x:c r="F853" s="35"/>
    </x:row>
    <x:row r="854" ht="24" customHeight="1">
      <x:c r="A854" s="36"/>
      <x:c r="B854" s="34"/>
      <x:c r="C854" s="34"/>
      <x:c r="D854" s="34"/>
      <x:c r="E854" s="34"/>
      <x:c r="F854" s="35"/>
    </x:row>
    <x:row r="855" ht="24" customHeight="1">
      <x:c r="A855" s="36"/>
      <x:c r="B855" s="34"/>
      <x:c r="C855" s="34"/>
      <x:c r="D855" s="34"/>
      <x:c r="E855" s="34"/>
      <x:c r="F855" s="35"/>
    </x:row>
    <x:row r="856" ht="24" customHeight="1">
      <x:c r="A856" s="36"/>
      <x:c r="B856" s="34"/>
      <x:c r="C856" s="34"/>
      <x:c r="D856" s="34"/>
      <x:c r="E856" s="34"/>
      <x:c r="F856" s="35"/>
    </x:row>
    <x:row r="857" ht="24" customHeight="1">
      <x:c r="A857" s="36"/>
      <x:c r="B857" s="34"/>
      <x:c r="C857" s="34"/>
      <x:c r="D857" s="34"/>
      <x:c r="E857" s="34"/>
      <x:c r="F857" s="35"/>
    </x:row>
    <x:row r="858" ht="24" customHeight="1">
      <x:c r="A858" s="36"/>
      <x:c r="B858" s="34"/>
      <x:c r="C858" s="34"/>
      <x:c r="D858" s="34"/>
      <x:c r="E858" s="34"/>
      <x:c r="F858" s="35"/>
    </x:row>
    <x:row r="859" ht="24" customHeight="1">
      <x:c r="A859" s="36"/>
      <x:c r="B859" s="34"/>
      <x:c r="C859" s="34"/>
      <x:c r="D859" s="34"/>
      <x:c r="E859" s="34"/>
      <x:c r="F859" s="35"/>
    </x:row>
    <x:row r="860" ht="24" customHeight="1">
      <x:c r="A860" s="36"/>
      <x:c r="B860" s="34"/>
      <x:c r="C860" s="34"/>
      <x:c r="D860" s="34"/>
      <x:c r="E860" s="34"/>
      <x:c r="F860" s="35"/>
    </x:row>
    <x:row r="861" ht="24" customHeight="1">
      <x:c r="A861" s="36"/>
      <x:c r="B861" s="34"/>
      <x:c r="C861" s="34"/>
      <x:c r="D861" s="34"/>
      <x:c r="E861" s="34"/>
      <x:c r="F861" s="35"/>
    </x:row>
    <x:row r="862" ht="24" customHeight="1">
      <x:c r="A862" s="36"/>
      <x:c r="B862" s="34"/>
      <x:c r="C862" s="34"/>
      <x:c r="D862" s="34"/>
      <x:c r="E862" s="34"/>
      <x:c r="F862" s="35"/>
    </x:row>
    <x:row r="863" ht="24" customHeight="1">
      <x:c r="A863" s="36"/>
      <x:c r="B863" s="34"/>
      <x:c r="C863" s="34"/>
      <x:c r="D863" s="34"/>
      <x:c r="E863" s="34"/>
      <x:c r="F863" s="35"/>
    </x:row>
    <x:row r="864" ht="24" customHeight="1">
      <x:c r="A864" s="36"/>
      <x:c r="B864" s="34"/>
      <x:c r="C864" s="34"/>
      <x:c r="D864" s="34"/>
      <x:c r="E864" s="34"/>
      <x:c r="F864" s="35"/>
    </x:row>
    <x:row r="865" ht="24" customHeight="1">
      <x:c r="A865" s="36"/>
      <x:c r="B865" s="34"/>
      <x:c r="C865" s="34"/>
      <x:c r="D865" s="34"/>
      <x:c r="E865" s="34"/>
      <x:c r="F865" s="35"/>
    </x:row>
    <x:row r="866" ht="24" customHeight="1">
      <x:c r="A866" s="36"/>
      <x:c r="B866" s="34"/>
      <x:c r="C866" s="34"/>
      <x:c r="D866" s="34"/>
      <x:c r="E866" s="34"/>
      <x:c r="F866" s="35"/>
    </x:row>
    <x:row r="867" ht="24" customHeight="1">
      <x:c r="A867" s="36"/>
      <x:c r="B867" s="34"/>
      <x:c r="C867" s="34"/>
      <x:c r="D867" s="34"/>
      <x:c r="E867" s="34"/>
      <x:c r="F867" s="35"/>
    </x:row>
    <x:row r="868" ht="24" customHeight="1">
      <x:c r="A868" s="36"/>
      <x:c r="B868" s="34"/>
      <x:c r="C868" s="34"/>
      <x:c r="D868" s="34"/>
      <x:c r="E868" s="34"/>
      <x:c r="F868" s="35"/>
    </x:row>
    <x:row r="869" ht="24" customHeight="1">
      <x:c r="A869" s="36"/>
      <x:c r="B869" s="34"/>
      <x:c r="C869" s="34"/>
      <x:c r="D869" s="34"/>
      <x:c r="E869" s="34"/>
      <x:c r="F869" s="35"/>
    </x:row>
    <x:row r="870" ht="24" customHeight="1">
      <x:c r="A870" s="36"/>
      <x:c r="B870" s="34"/>
      <x:c r="C870" s="34"/>
      <x:c r="D870" s="34"/>
      <x:c r="E870" s="34"/>
      <x:c r="F870" s="35"/>
    </x:row>
    <x:row r="871" ht="24" customHeight="1">
      <x:c r="A871" s="36"/>
      <x:c r="B871" s="34"/>
      <x:c r="C871" s="34"/>
      <x:c r="D871" s="34"/>
      <x:c r="E871" s="34"/>
      <x:c r="F871" s="35"/>
    </x:row>
    <x:row r="872" ht="24" customHeight="1">
      <x:c r="A872" s="36"/>
      <x:c r="B872" s="34"/>
      <x:c r="C872" s="34"/>
      <x:c r="D872" s="34"/>
      <x:c r="E872" s="34"/>
      <x:c r="F872" s="35"/>
    </x:row>
    <x:row r="873" ht="24" customHeight="1">
      <x:c r="A873" s="36"/>
      <x:c r="B873" s="34"/>
      <x:c r="C873" s="34"/>
      <x:c r="D873" s="34"/>
      <x:c r="E873" s="34"/>
      <x:c r="F873" s="35"/>
    </x:row>
    <x:row r="874" ht="24" customHeight="1">
      <x:c r="A874" s="36"/>
      <x:c r="B874" s="34"/>
      <x:c r="C874" s="34"/>
      <x:c r="D874" s="34"/>
      <x:c r="E874" s="34"/>
      <x:c r="F874" s="35"/>
    </x:row>
    <x:row r="875" ht="24" customHeight="1">
      <x:c r="A875" s="36"/>
      <x:c r="B875" s="34"/>
      <x:c r="C875" s="34"/>
      <x:c r="D875" s="34"/>
      <x:c r="E875" s="34"/>
      <x:c r="F875" s="35"/>
    </x:row>
    <x:row r="876" ht="24" customHeight="1">
      <x:c r="A876" s="36"/>
      <x:c r="B876" s="34"/>
      <x:c r="C876" s="34"/>
      <x:c r="D876" s="34"/>
      <x:c r="E876" s="34"/>
      <x:c r="F876" s="35"/>
    </x:row>
    <x:row r="877" ht="24" customHeight="1">
      <x:c r="A877" s="36"/>
      <x:c r="B877" s="34"/>
      <x:c r="C877" s="34"/>
      <x:c r="D877" s="34"/>
      <x:c r="E877" s="34"/>
      <x:c r="F877" s="35"/>
    </x:row>
    <x:row r="878" ht="24" customHeight="1">
      <x:c r="A878" s="36"/>
      <x:c r="B878" s="34"/>
      <x:c r="C878" s="34"/>
      <x:c r="D878" s="34"/>
      <x:c r="E878" s="34"/>
      <x:c r="F878" s="35"/>
    </x:row>
    <x:row r="879" ht="24" customHeight="1">
      <x:c r="A879" s="36"/>
      <x:c r="B879" s="34"/>
      <x:c r="C879" s="34"/>
      <x:c r="D879" s="34"/>
      <x:c r="E879" s="34"/>
      <x:c r="F879" s="35"/>
    </x:row>
    <x:row r="880" ht="24" customHeight="1">
      <x:c r="A880" s="36"/>
      <x:c r="B880" s="34"/>
      <x:c r="C880" s="34"/>
      <x:c r="D880" s="34"/>
      <x:c r="E880" s="34"/>
      <x:c r="F880" s="35"/>
    </x:row>
    <x:row r="881" ht="24" customHeight="1">
      <x:c r="A881" s="36"/>
      <x:c r="B881" s="34"/>
      <x:c r="C881" s="34"/>
      <x:c r="D881" s="34"/>
      <x:c r="E881" s="34"/>
      <x:c r="F881" s="35"/>
    </x:row>
    <x:row r="882" ht="24" customHeight="1">
      <x:c r="A882" s="36"/>
      <x:c r="B882" s="34"/>
      <x:c r="C882" s="34"/>
      <x:c r="D882" s="34"/>
      <x:c r="E882" s="34"/>
      <x:c r="F882" s="35"/>
    </x:row>
    <x:row r="883" ht="24" customHeight="1">
      <x:c r="A883" s="36"/>
      <x:c r="B883" s="34"/>
      <x:c r="C883" s="34"/>
      <x:c r="D883" s="34"/>
      <x:c r="E883" s="34"/>
      <x:c r="F883" s="35"/>
    </x:row>
    <x:row r="884" ht="24" customHeight="1">
      <x:c r="A884" s="36"/>
      <x:c r="B884" s="34"/>
      <x:c r="C884" s="34"/>
      <x:c r="D884" s="34"/>
      <x:c r="E884" s="34"/>
      <x:c r="F884" s="35"/>
    </x:row>
    <x:row r="885" ht="24" customHeight="1">
      <x:c r="A885" s="36"/>
      <x:c r="B885" s="34"/>
      <x:c r="C885" s="34"/>
      <x:c r="D885" s="34"/>
      <x:c r="E885" s="34"/>
      <x:c r="F885" s="35"/>
    </x:row>
    <x:row r="886" ht="24" customHeight="1">
      <x:c r="A886" s="36"/>
      <x:c r="B886" s="34"/>
      <x:c r="C886" s="34"/>
      <x:c r="D886" s="34"/>
      <x:c r="E886" s="34"/>
      <x:c r="F886" s="35"/>
    </x:row>
    <x:row r="887" ht="24" customHeight="1">
      <x:c r="A887" s="36"/>
      <x:c r="B887" s="34"/>
      <x:c r="C887" s="34"/>
      <x:c r="D887" s="34"/>
      <x:c r="E887" s="34"/>
      <x:c r="F887" s="35"/>
    </x:row>
    <x:row r="888" ht="24" customHeight="1">
      <x:c r="A888" s="36"/>
      <x:c r="B888" s="34"/>
      <x:c r="C888" s="34"/>
      <x:c r="D888" s="34"/>
      <x:c r="E888" s="34"/>
      <x:c r="F888" s="35"/>
    </x:row>
    <x:row r="889" ht="24" customHeight="1">
      <x:c r="A889" s="36"/>
      <x:c r="B889" s="34"/>
      <x:c r="C889" s="34"/>
      <x:c r="D889" s="34"/>
      <x:c r="E889" s="34"/>
      <x:c r="F889" s="35"/>
    </x:row>
    <x:row r="890" ht="24" customHeight="1">
      <x:c r="A890" s="36"/>
      <x:c r="B890" s="34"/>
      <x:c r="C890" s="34"/>
      <x:c r="D890" s="34"/>
      <x:c r="E890" s="34"/>
      <x:c r="F890" s="35"/>
    </x:row>
    <x:row r="891" ht="24" customHeight="1">
      <x:c r="A891" s="36"/>
      <x:c r="B891" s="34"/>
      <x:c r="C891" s="34"/>
      <x:c r="D891" s="34"/>
      <x:c r="E891" s="34"/>
      <x:c r="F891" s="35"/>
    </x:row>
    <x:row r="892" ht="24" customHeight="1">
      <x:c r="A892" s="36"/>
      <x:c r="B892" s="34"/>
      <x:c r="C892" s="34"/>
      <x:c r="D892" s="34"/>
      <x:c r="E892" s="34"/>
      <x:c r="F892" s="35"/>
    </x:row>
    <x:row r="893" ht="24" customHeight="1">
      <x:c r="A893" s="36"/>
      <x:c r="B893" s="34"/>
      <x:c r="C893" s="34"/>
      <x:c r="D893" s="34"/>
      <x:c r="E893" s="34"/>
      <x:c r="F893" s="35"/>
    </x:row>
    <x:row r="894" ht="24" customHeight="1">
      <x:c r="A894" s="36"/>
      <x:c r="B894" s="34"/>
      <x:c r="C894" s="34"/>
      <x:c r="D894" s="34"/>
      <x:c r="E894" s="34"/>
      <x:c r="F894" s="35"/>
    </x:row>
    <x:row r="895" ht="24" customHeight="1">
      <x:c r="A895" s="36"/>
      <x:c r="B895" s="34"/>
      <x:c r="C895" s="34"/>
      <x:c r="D895" s="34"/>
      <x:c r="E895" s="34"/>
      <x:c r="F895" s="35"/>
    </x:row>
    <x:row r="896" ht="24" customHeight="1">
      <x:c r="A896" s="36"/>
      <x:c r="B896" s="34"/>
      <x:c r="C896" s="34"/>
      <x:c r="D896" s="34"/>
      <x:c r="E896" s="34"/>
      <x:c r="F896" s="35"/>
    </x:row>
    <x:row r="897" ht="24" customHeight="1">
      <x:c r="A897" s="36"/>
      <x:c r="B897" s="34"/>
      <x:c r="C897" s="34"/>
      <x:c r="D897" s="34"/>
      <x:c r="E897" s="34"/>
      <x:c r="F897" s="35"/>
    </x:row>
    <x:row r="898" ht="24" customHeight="1">
      <x:c r="A898" s="36"/>
      <x:c r="B898" s="34"/>
      <x:c r="C898" s="34"/>
      <x:c r="D898" s="34"/>
      <x:c r="E898" s="34"/>
      <x:c r="F898" s="35"/>
    </x:row>
    <x:row r="899" ht="24" customHeight="1">
      <x:c r="A899" s="36"/>
      <x:c r="B899" s="34"/>
      <x:c r="C899" s="34"/>
      <x:c r="D899" s="34"/>
      <x:c r="E899" s="34"/>
      <x:c r="F899" s="35"/>
    </x:row>
    <x:row r="900" ht="24" customHeight="1">
      <x:c r="A900" s="36"/>
      <x:c r="B900" s="34"/>
      <x:c r="C900" s="34"/>
      <x:c r="D900" s="34"/>
      <x:c r="E900" s="34"/>
      <x:c r="F900" s="35"/>
    </x:row>
    <x:row r="901" ht="24" customHeight="1">
      <x:c r="A901" s="36"/>
      <x:c r="B901" s="34"/>
      <x:c r="C901" s="34"/>
      <x:c r="D901" s="34"/>
      <x:c r="E901" s="34"/>
      <x:c r="F901" s="35"/>
    </x:row>
    <x:row r="902" ht="24" customHeight="1">
      <x:c r="A902" s="36"/>
      <x:c r="B902" s="34"/>
      <x:c r="C902" s="34"/>
      <x:c r="D902" s="34"/>
      <x:c r="E902" s="34"/>
      <x:c r="F902" s="35"/>
    </x:row>
    <x:row r="903" ht="24" customHeight="1">
      <x:c r="A903" s="36"/>
      <x:c r="B903" s="34"/>
      <x:c r="C903" s="34"/>
      <x:c r="D903" s="34"/>
      <x:c r="E903" s="34"/>
      <x:c r="F903" s="35"/>
    </x:row>
    <x:row r="904" ht="24" customHeight="1">
      <x:c r="A904" s="36"/>
      <x:c r="B904" s="34"/>
      <x:c r="C904" s="34"/>
      <x:c r="D904" s="34"/>
      <x:c r="E904" s="34"/>
      <x:c r="F904" s="35"/>
    </x:row>
    <x:row r="905" ht="24" customHeight="1">
      <x:c r="A905" s="36"/>
      <x:c r="B905" s="34"/>
      <x:c r="C905" s="34"/>
      <x:c r="D905" s="34"/>
      <x:c r="E905" s="34"/>
      <x:c r="F905" s="35"/>
    </x:row>
    <x:row r="906" ht="24" customHeight="1">
      <x:c r="A906" s="36"/>
      <x:c r="B906" s="34"/>
      <x:c r="C906" s="34"/>
      <x:c r="D906" s="34"/>
      <x:c r="E906" s="34"/>
      <x:c r="F906" s="35"/>
    </x:row>
    <x:row r="907" ht="24" customHeight="1">
      <x:c r="A907" s="36"/>
      <x:c r="B907" s="34"/>
      <x:c r="C907" s="34"/>
      <x:c r="D907" s="34"/>
      <x:c r="E907" s="34"/>
      <x:c r="F907" s="35"/>
    </x:row>
    <x:row r="908" ht="24" customHeight="1">
      <x:c r="A908" s="36"/>
      <x:c r="B908" s="34"/>
      <x:c r="C908" s="34"/>
      <x:c r="D908" s="34"/>
      <x:c r="E908" s="34"/>
      <x:c r="F908" s="35"/>
    </x:row>
    <x:row r="909" ht="24" customHeight="1">
      <x:c r="A909" s="36"/>
      <x:c r="B909" s="34"/>
      <x:c r="C909" s="34"/>
      <x:c r="D909" s="34"/>
      <x:c r="E909" s="34"/>
      <x:c r="F909" s="35"/>
    </x:row>
    <x:row r="910" ht="24" customHeight="1">
      <x:c r="A910" s="36"/>
      <x:c r="B910" s="34"/>
      <x:c r="C910" s="34"/>
      <x:c r="D910" s="34"/>
      <x:c r="E910" s="34"/>
      <x:c r="F910" s="35"/>
    </x:row>
    <x:row r="911" ht="24" customHeight="1">
      <x:c r="A911" s="36"/>
      <x:c r="B911" s="34"/>
      <x:c r="C911" s="34"/>
      <x:c r="D911" s="34"/>
      <x:c r="E911" s="34"/>
      <x:c r="F911" s="35"/>
    </x:row>
    <x:row r="912" ht="24" customHeight="1">
      <x:c r="A912" s="36"/>
      <x:c r="B912" s="34"/>
      <x:c r="C912" s="34"/>
      <x:c r="D912" s="34"/>
      <x:c r="E912" s="34"/>
      <x:c r="F912" s="35"/>
    </x:row>
    <x:row r="913" ht="24" customHeight="1">
      <x:c r="A913" s="36"/>
      <x:c r="B913" s="34"/>
      <x:c r="C913" s="34"/>
      <x:c r="D913" s="34"/>
      <x:c r="E913" s="34"/>
      <x:c r="F913" s="35"/>
    </x:row>
    <x:row r="914" ht="24" customHeight="1">
      <x:c r="A914" s="36"/>
      <x:c r="B914" s="34"/>
      <x:c r="C914" s="34"/>
      <x:c r="D914" s="34"/>
      <x:c r="E914" s="34"/>
      <x:c r="F914" s="35"/>
    </x:row>
    <x:row r="915" ht="24" customHeight="1">
      <x:c r="A915" s="36"/>
      <x:c r="B915" s="34"/>
      <x:c r="C915" s="34"/>
      <x:c r="D915" s="34"/>
      <x:c r="E915" s="34"/>
      <x:c r="F915" s="35"/>
    </x:row>
    <x:row r="916" ht="24" customHeight="1">
      <x:c r="A916" s="36"/>
      <x:c r="B916" s="34"/>
      <x:c r="C916" s="34"/>
      <x:c r="D916" s="34"/>
      <x:c r="E916" s="34"/>
      <x:c r="F916" s="35"/>
    </x:row>
    <x:row r="917" ht="24" customHeight="1">
      <x:c r="A917" s="36"/>
      <x:c r="B917" s="34"/>
      <x:c r="C917" s="34"/>
      <x:c r="D917" s="34"/>
      <x:c r="E917" s="34"/>
      <x:c r="F917" s="35"/>
    </x:row>
    <x:row r="918" ht="24" customHeight="1">
      <x:c r="A918" s="36"/>
      <x:c r="B918" s="34"/>
      <x:c r="C918" s="34"/>
      <x:c r="D918" s="34"/>
      <x:c r="E918" s="34"/>
      <x:c r="F918" s="35"/>
    </x:row>
    <x:row r="919" ht="24" customHeight="1">
      <x:c r="A919" s="36"/>
      <x:c r="B919" s="34"/>
      <x:c r="C919" s="34"/>
      <x:c r="D919" s="34"/>
      <x:c r="E919" s="34"/>
      <x:c r="F919" s="35"/>
    </x:row>
    <x:row r="920" ht="24" customHeight="1">
      <x:c r="A920" s="36"/>
      <x:c r="B920" s="34"/>
      <x:c r="C920" s="34"/>
      <x:c r="D920" s="34"/>
      <x:c r="E920" s="34"/>
      <x:c r="F920" s="35"/>
    </x:row>
    <x:row r="921" ht="24" customHeight="1">
      <x:c r="A921" s="36"/>
      <x:c r="B921" s="34"/>
      <x:c r="C921" s="34"/>
      <x:c r="D921" s="34"/>
      <x:c r="E921" s="34"/>
      <x:c r="F921" s="35"/>
    </x:row>
    <x:row r="922" ht="24" customHeight="1">
      <x:c r="A922" s="36"/>
      <x:c r="B922" s="34"/>
      <x:c r="C922" s="34"/>
      <x:c r="D922" s="34"/>
      <x:c r="E922" s="34"/>
      <x:c r="F922" s="35"/>
    </x:row>
    <x:row r="923" ht="24" customHeight="1">
      <x:c r="A923" s="36"/>
      <x:c r="B923" s="34"/>
      <x:c r="C923" s="34"/>
      <x:c r="D923" s="34"/>
      <x:c r="E923" s="34"/>
      <x:c r="F923" s="35"/>
    </x:row>
    <x:row r="924" ht="24" customHeight="1">
      <x:c r="A924" s="36"/>
      <x:c r="B924" s="34"/>
      <x:c r="C924" s="34"/>
      <x:c r="D924" s="34"/>
      <x:c r="E924" s="34"/>
      <x:c r="F924" s="35"/>
    </x:row>
    <x:row r="925" ht="24" customHeight="1">
      <x:c r="A925" s="36"/>
      <x:c r="B925" s="34"/>
      <x:c r="C925" s="34"/>
      <x:c r="D925" s="34"/>
      <x:c r="E925" s="34"/>
      <x:c r="F925" s="35"/>
    </x:row>
    <x:row r="926" ht="24" customHeight="1">
      <x:c r="A926" s="36"/>
      <x:c r="B926" s="34"/>
      <x:c r="C926" s="34"/>
      <x:c r="D926" s="34"/>
      <x:c r="E926" s="34"/>
      <x:c r="F926" s="35"/>
    </x:row>
    <x:row r="927" ht="24" customHeight="1">
      <x:c r="A927" s="36"/>
      <x:c r="B927" s="34"/>
      <x:c r="C927" s="34"/>
      <x:c r="D927" s="34"/>
      <x:c r="E927" s="34"/>
      <x:c r="F927" s="35"/>
    </x:row>
    <x:row r="928" ht="24" customHeight="1">
      <x:c r="A928" s="36"/>
      <x:c r="B928" s="34"/>
      <x:c r="C928" s="34"/>
      <x:c r="D928" s="34"/>
      <x:c r="E928" s="34"/>
      <x:c r="F928" s="35"/>
    </x:row>
    <x:row r="929" ht="24" customHeight="1">
      <x:c r="A929" s="36"/>
      <x:c r="B929" s="34"/>
      <x:c r="C929" s="34"/>
      <x:c r="D929" s="34"/>
      <x:c r="E929" s="34"/>
      <x:c r="F929" s="35"/>
    </x:row>
    <x:row r="930" ht="24" customHeight="1">
      <x:c r="A930" s="36"/>
      <x:c r="B930" s="34"/>
      <x:c r="C930" s="34"/>
      <x:c r="D930" s="34"/>
      <x:c r="E930" s="34"/>
      <x:c r="F930" s="35"/>
    </x:row>
    <x:row r="931" ht="24" customHeight="1">
      <x:c r="A931" s="36"/>
      <x:c r="B931" s="34"/>
      <x:c r="C931" s="34"/>
      <x:c r="D931" s="34"/>
      <x:c r="E931" s="34"/>
      <x:c r="F931" s="35"/>
    </x:row>
    <x:row r="932" ht="24" customHeight="1">
      <x:c r="A932" s="36"/>
      <x:c r="B932" s="34"/>
      <x:c r="C932" s="34"/>
      <x:c r="D932" s="34"/>
      <x:c r="E932" s="34"/>
      <x:c r="F932" s="35"/>
    </x:row>
    <x:row r="933" ht="24" customHeight="1">
      <x:c r="A933" s="36"/>
      <x:c r="B933" s="34"/>
      <x:c r="C933" s="34"/>
      <x:c r="D933" s="34"/>
      <x:c r="E933" s="34"/>
      <x:c r="F933" s="35"/>
    </x:row>
    <x:row r="934" ht="24" customHeight="1">
      <x:c r="A934" s="36"/>
      <x:c r="B934" s="34"/>
      <x:c r="C934" s="34"/>
      <x:c r="D934" s="34"/>
      <x:c r="E934" s="34"/>
      <x:c r="F934" s="35"/>
    </x:row>
    <x:row r="935" ht="24" customHeight="1">
      <x:c r="A935" s="36"/>
      <x:c r="B935" s="34"/>
      <x:c r="C935" s="34"/>
      <x:c r="D935" s="34"/>
      <x:c r="E935" s="34"/>
      <x:c r="F935" s="35"/>
    </x:row>
    <x:row r="936" ht="24" customHeight="1">
      <x:c r="A936" s="36"/>
      <x:c r="B936" s="34"/>
      <x:c r="C936" s="34"/>
      <x:c r="D936" s="34"/>
      <x:c r="E936" s="34"/>
      <x:c r="F936" s="35"/>
    </x:row>
    <x:row r="937" ht="24" customHeight="1">
      <x:c r="A937" s="36"/>
      <x:c r="B937" s="34"/>
      <x:c r="C937" s="34"/>
      <x:c r="D937" s="34"/>
      <x:c r="E937" s="34"/>
      <x:c r="F937" s="35"/>
    </x:row>
    <x:row r="938" ht="24" customHeight="1">
      <x:c r="A938" s="36"/>
      <x:c r="B938" s="34"/>
      <x:c r="C938" s="34"/>
      <x:c r="D938" s="34"/>
      <x:c r="E938" s="34"/>
      <x:c r="F938" s="35"/>
    </x:row>
    <x:row r="939" ht="24" customHeight="1">
      <x:c r="A939" s="36"/>
      <x:c r="B939" s="34"/>
      <x:c r="C939" s="34"/>
      <x:c r="D939" s="34"/>
      <x:c r="E939" s="34"/>
      <x:c r="F939" s="35"/>
    </x:row>
    <x:row r="940" ht="24" customHeight="1">
      <x:c r="A940" s="36"/>
      <x:c r="B940" s="34"/>
      <x:c r="C940" s="34"/>
      <x:c r="D940" s="34"/>
      <x:c r="E940" s="34"/>
      <x:c r="F940" s="35"/>
    </x:row>
    <x:row r="941" ht="24" customHeight="1">
      <x:c r="A941" s="36"/>
      <x:c r="B941" s="34"/>
      <x:c r="C941" s="34"/>
      <x:c r="D941" s="34"/>
      <x:c r="E941" s="34"/>
      <x:c r="F941" s="35"/>
    </x:row>
    <x:row r="942" ht="24" customHeight="1">
      <x:c r="A942" s="36"/>
      <x:c r="B942" s="34"/>
      <x:c r="C942" s="34"/>
      <x:c r="D942" s="34"/>
      <x:c r="E942" s="34"/>
      <x:c r="F942" s="35"/>
    </x:row>
    <x:row r="943" ht="24" customHeight="1">
      <x:c r="A943" s="36"/>
      <x:c r="B943" s="34"/>
      <x:c r="C943" s="34"/>
      <x:c r="D943" s="34"/>
      <x:c r="E943" s="34"/>
      <x:c r="F943" s="35"/>
    </x:row>
    <x:row r="944" ht="24" customHeight="1">
      <x:c r="A944" s="36"/>
      <x:c r="B944" s="34"/>
      <x:c r="C944" s="34"/>
      <x:c r="D944" s="34"/>
      <x:c r="E944" s="34"/>
      <x:c r="F944" s="35"/>
    </x:row>
    <x:row r="945" ht="24" customHeight="1">
      <x:c r="A945" s="36"/>
      <x:c r="B945" s="34"/>
      <x:c r="C945" s="34"/>
      <x:c r="D945" s="34"/>
      <x:c r="E945" s="34"/>
      <x:c r="F945" s="35"/>
    </x:row>
    <x:row r="946" ht="24" customHeight="1">
      <x:c r="A946" s="36"/>
      <x:c r="B946" s="34"/>
      <x:c r="C946" s="34"/>
      <x:c r="D946" s="34"/>
      <x:c r="E946" s="34"/>
      <x:c r="F946" s="35"/>
    </x:row>
    <x:row r="947" ht="24" customHeight="1">
      <x:c r="A947" s="36"/>
      <x:c r="B947" s="34"/>
      <x:c r="C947" s="34"/>
      <x:c r="D947" s="34"/>
      <x:c r="E947" s="34"/>
      <x:c r="F947" s="35"/>
    </x:row>
    <x:row r="948" ht="24" customHeight="1">
      <x:c r="A948" s="36"/>
      <x:c r="B948" s="34"/>
      <x:c r="C948" s="34"/>
      <x:c r="D948" s="34"/>
      <x:c r="E948" s="34"/>
      <x:c r="F948" s="35"/>
    </x:row>
    <x:row r="949" ht="24" customHeight="1">
      <x:c r="A949" s="36"/>
      <x:c r="B949" s="34"/>
      <x:c r="C949" s="34"/>
      <x:c r="D949" s="34"/>
      <x:c r="E949" s="34"/>
      <x:c r="F949" s="35"/>
    </x:row>
    <x:row r="950" ht="24" customHeight="1">
      <x:c r="A950" s="36"/>
      <x:c r="B950" s="34"/>
      <x:c r="C950" s="34"/>
      <x:c r="D950" s="34"/>
      <x:c r="E950" s="34"/>
      <x:c r="F950" s="35"/>
    </x:row>
    <x:row r="951" ht="24" customHeight="1">
      <x:c r="A951" s="36"/>
      <x:c r="B951" s="34"/>
      <x:c r="C951" s="34"/>
      <x:c r="D951" s="34"/>
      <x:c r="E951" s="34"/>
      <x:c r="F951" s="35"/>
    </x:row>
    <x:row r="952" ht="24" customHeight="1">
      <x:c r="A952" s="36"/>
      <x:c r="B952" s="34"/>
      <x:c r="C952" s="34"/>
      <x:c r="D952" s="34"/>
      <x:c r="E952" s="34"/>
      <x:c r="F952" s="35"/>
    </x:row>
    <x:row r="953" ht="24" customHeight="1">
      <x:c r="A953" s="36"/>
      <x:c r="B953" s="34"/>
      <x:c r="C953" s="34"/>
      <x:c r="D953" s="34"/>
      <x:c r="E953" s="34"/>
      <x:c r="F953" s="35"/>
    </x:row>
    <x:row r="954" ht="24" customHeight="1">
      <x:c r="A954" s="36"/>
      <x:c r="B954" s="34"/>
      <x:c r="C954" s="34"/>
      <x:c r="D954" s="34"/>
      <x:c r="E954" s="34"/>
      <x:c r="F954" s="35"/>
    </x:row>
    <x:row r="955" ht="24" customHeight="1">
      <x:c r="A955" s="36"/>
      <x:c r="B955" s="34"/>
      <x:c r="C955" s="34"/>
      <x:c r="D955" s="34"/>
      <x:c r="E955" s="34"/>
      <x:c r="F955" s="35"/>
    </x:row>
    <x:row r="956" ht="24" customHeight="1">
      <x:c r="A956" s="36"/>
      <x:c r="B956" s="34"/>
      <x:c r="C956" s="34"/>
      <x:c r="D956" s="34"/>
      <x:c r="E956" s="34"/>
      <x:c r="F956" s="35"/>
    </x:row>
    <x:row r="957" ht="24" customHeight="1">
      <x:c r="A957" s="36"/>
      <x:c r="B957" s="34"/>
      <x:c r="C957" s="34"/>
      <x:c r="D957" s="34"/>
      <x:c r="E957" s="34"/>
      <x:c r="F957" s="35"/>
    </x:row>
    <x:row r="958" ht="24" customHeight="1">
      <x:c r="A958" s="36"/>
      <x:c r="B958" s="34"/>
      <x:c r="C958" s="34"/>
      <x:c r="D958" s="34"/>
      <x:c r="E958" s="34"/>
      <x:c r="F958" s="35"/>
    </x:row>
    <x:row r="959" ht="24" customHeight="1">
      <x:c r="A959" s="36"/>
      <x:c r="B959" s="34"/>
      <x:c r="C959" s="34"/>
      <x:c r="D959" s="34"/>
      <x:c r="E959" s="34"/>
      <x:c r="F959" s="35"/>
    </x:row>
    <x:row r="960" ht="24" customHeight="1">
      <x:c r="A960" s="36"/>
      <x:c r="B960" s="34"/>
      <x:c r="C960" s="34"/>
      <x:c r="D960" s="34"/>
      <x:c r="E960" s="34"/>
      <x:c r="F960" s="35"/>
    </x:row>
    <x:row r="961" ht="24" customHeight="1">
      <x:c r="A961" s="36"/>
      <x:c r="B961" s="34"/>
      <x:c r="C961" s="34"/>
      <x:c r="D961" s="34"/>
      <x:c r="E961" s="34"/>
      <x:c r="F961" s="35"/>
    </x:row>
    <x:row r="962" ht="24" customHeight="1">
      <x:c r="A962" s="36"/>
      <x:c r="B962" s="34"/>
      <x:c r="C962" s="34"/>
      <x:c r="D962" s="34"/>
      <x:c r="E962" s="34"/>
      <x:c r="F962" s="35"/>
    </x:row>
    <x:row r="963" ht="24" customHeight="1">
      <x:c r="A963" s="36"/>
      <x:c r="B963" s="34"/>
      <x:c r="C963" s="34"/>
      <x:c r="D963" s="34"/>
      <x:c r="E963" s="34"/>
      <x:c r="F963" s="35"/>
    </x:row>
    <x:row r="964" ht="24" customHeight="1">
      <x:c r="A964" s="36"/>
      <x:c r="B964" s="34"/>
      <x:c r="C964" s="34"/>
      <x:c r="D964" s="34"/>
      <x:c r="E964" s="34"/>
      <x:c r="F964" s="35"/>
    </x:row>
    <x:row r="965" ht="24" customHeight="1">
      <x:c r="A965" s="36"/>
      <x:c r="B965" s="34"/>
      <x:c r="C965" s="34"/>
      <x:c r="D965" s="34"/>
      <x:c r="E965" s="34"/>
      <x:c r="F965" s="35"/>
    </x:row>
    <x:row r="966" ht="24" customHeight="1">
      <x:c r="A966" s="36"/>
      <x:c r="B966" s="34"/>
      <x:c r="C966" s="34"/>
      <x:c r="D966" s="34"/>
      <x:c r="E966" s="34"/>
      <x:c r="F966" s="35"/>
    </x:row>
    <x:row r="967" ht="24" customHeight="1">
      <x:c r="A967" s="36"/>
      <x:c r="B967" s="34"/>
      <x:c r="C967" s="34"/>
      <x:c r="D967" s="34"/>
      <x:c r="E967" s="34"/>
      <x:c r="F967" s="35"/>
    </x:row>
    <x:row r="968" ht="24" customHeight="1">
      <x:c r="A968" s="36"/>
      <x:c r="B968" s="34"/>
      <x:c r="C968" s="34"/>
      <x:c r="D968" s="34"/>
      <x:c r="E968" s="34"/>
      <x:c r="F968" s="35"/>
    </x:row>
    <x:row r="969" ht="24" customHeight="1">
      <x:c r="A969" s="36"/>
      <x:c r="B969" s="34"/>
      <x:c r="C969" s="34"/>
      <x:c r="D969" s="34"/>
      <x:c r="E969" s="34"/>
      <x:c r="F969" s="35"/>
    </x:row>
    <x:row r="970" ht="24" customHeight="1">
      <x:c r="A970" s="36"/>
      <x:c r="B970" s="34"/>
      <x:c r="C970" s="34"/>
      <x:c r="D970" s="34"/>
      <x:c r="E970" s="34"/>
      <x:c r="F970" s="35"/>
    </x:row>
    <x:row r="971" ht="24" customHeight="1">
      <x:c r="A971" s="36"/>
      <x:c r="B971" s="34"/>
      <x:c r="C971" s="34"/>
      <x:c r="D971" s="34"/>
      <x:c r="E971" s="34"/>
      <x:c r="F971" s="35"/>
    </x:row>
    <x:row r="972" ht="24" customHeight="1">
      <x:c r="A972" s="36"/>
      <x:c r="B972" s="34"/>
      <x:c r="C972" s="34"/>
      <x:c r="D972" s="34"/>
      <x:c r="E972" s="34"/>
      <x:c r="F972" s="35"/>
    </x:row>
    <x:row r="973" ht="24" customHeight="1">
      <x:c r="A973" s="36"/>
      <x:c r="B973" s="34"/>
      <x:c r="C973" s="34"/>
      <x:c r="D973" s="34"/>
      <x:c r="E973" s="34"/>
      <x:c r="F973" s="35"/>
    </x:row>
    <x:row r="974" ht="24" customHeight="1">
      <x:c r="A974" s="36"/>
      <x:c r="B974" s="34"/>
      <x:c r="C974" s="34"/>
      <x:c r="D974" s="34"/>
      <x:c r="E974" s="34"/>
      <x:c r="F974" s="35"/>
    </x:row>
    <x:row r="975" ht="24" customHeight="1">
      <x:c r="A975" s="36"/>
      <x:c r="B975" s="34"/>
      <x:c r="C975" s="34"/>
      <x:c r="D975" s="34"/>
      <x:c r="E975" s="34"/>
      <x:c r="F975" s="35"/>
    </x:row>
    <x:row r="976" ht="24" customHeight="1">
      <x:c r="A976" s="36"/>
      <x:c r="B976" s="34"/>
      <x:c r="C976" s="34"/>
      <x:c r="D976" s="34"/>
      <x:c r="E976" s="34"/>
      <x:c r="F976" s="35"/>
    </x:row>
    <x:row r="977" ht="24" customHeight="1">
      <x:c r="A977" s="36"/>
      <x:c r="B977" s="34"/>
      <x:c r="C977" s="34"/>
      <x:c r="D977" s="34"/>
      <x:c r="E977" s="34"/>
      <x:c r="F977" s="35"/>
    </x:row>
    <x:row r="978" ht="24" customHeight="1">
      <x:c r="A978" s="36"/>
      <x:c r="B978" s="34"/>
      <x:c r="C978" s="34"/>
      <x:c r="D978" s="34"/>
      <x:c r="E978" s="34"/>
      <x:c r="F978" s="35"/>
    </x:row>
    <x:row r="979" ht="24" customHeight="1">
      <x:c r="A979" s="36"/>
      <x:c r="B979" s="34"/>
      <x:c r="C979" s="34"/>
      <x:c r="D979" s="34"/>
      <x:c r="E979" s="34"/>
      <x:c r="F979" s="35"/>
    </x:row>
    <x:row r="980" ht="24" customHeight="1">
      <x:c r="A980" s="36"/>
      <x:c r="B980" s="34"/>
      <x:c r="C980" s="34"/>
      <x:c r="D980" s="34"/>
      <x:c r="E980" s="34"/>
      <x:c r="F980" s="35"/>
    </x:row>
    <x:row r="981" ht="24" customHeight="1">
      <x:c r="A981" s="36"/>
      <x:c r="B981" s="34"/>
      <x:c r="C981" s="34"/>
      <x:c r="D981" s="34"/>
      <x:c r="E981" s="34"/>
      <x:c r="F981" s="35"/>
    </x:row>
    <x:row r="982" ht="24" customHeight="1">
      <x:c r="A982" s="36"/>
      <x:c r="B982" s="34"/>
      <x:c r="C982" s="34"/>
      <x:c r="D982" s="34"/>
      <x:c r="E982" s="34"/>
      <x:c r="F982" s="35"/>
    </x:row>
    <x:row r="983" ht="24" customHeight="1">
      <x:c r="A983" s="36"/>
      <x:c r="B983" s="34"/>
      <x:c r="C983" s="34"/>
      <x:c r="D983" s="34"/>
      <x:c r="E983" s="34"/>
      <x:c r="F983" s="35"/>
    </x:row>
    <x:row r="984" ht="24" customHeight="1">
      <x:c r="A984" s="36"/>
      <x:c r="B984" s="34"/>
      <x:c r="C984" s="34"/>
      <x:c r="D984" s="34"/>
      <x:c r="E984" s="34"/>
      <x:c r="F984" s="35"/>
    </x:row>
    <x:row r="985" ht="24" customHeight="1">
      <x:c r="A985" s="36"/>
      <x:c r="B985" s="34"/>
      <x:c r="C985" s="34"/>
      <x:c r="D985" s="34"/>
      <x:c r="E985" s="34"/>
      <x:c r="F985" s="35"/>
    </x:row>
    <x:row r="986" ht="24" customHeight="1">
      <x:c r="A986" s="36"/>
      <x:c r="B986" s="34"/>
      <x:c r="C986" s="34"/>
      <x:c r="D986" s="34"/>
      <x:c r="E986" s="34"/>
      <x:c r="F986" s="35"/>
    </x:row>
    <x:row r="987" ht="24" customHeight="1">
      <x:c r="A987" s="36"/>
      <x:c r="B987" s="34"/>
      <x:c r="C987" s="34"/>
      <x:c r="D987" s="34"/>
      <x:c r="E987" s="34"/>
      <x:c r="F987" s="35"/>
    </x:row>
    <x:row r="988" ht="24" customHeight="1">
      <x:c r="A988" s="36"/>
      <x:c r="B988" s="34"/>
      <x:c r="C988" s="34"/>
      <x:c r="D988" s="34"/>
      <x:c r="E988" s="34"/>
      <x:c r="F988" s="35"/>
    </x:row>
    <x:row r="989" ht="24" customHeight="1">
      <x:c r="A989" s="36"/>
      <x:c r="B989" s="34"/>
      <x:c r="C989" s="34"/>
      <x:c r="D989" s="34"/>
      <x:c r="E989" s="34"/>
      <x:c r="F989" s="35"/>
    </x:row>
    <x:row r="990" ht="24" customHeight="1">
      <x:c r="A990" s="36"/>
      <x:c r="B990" s="34"/>
      <x:c r="C990" s="34"/>
      <x:c r="D990" s="34"/>
      <x:c r="E990" s="34"/>
      <x:c r="F990" s="35"/>
    </x:row>
    <x:row r="991" ht="24" customHeight="1">
      <x:c r="A991" s="36"/>
      <x:c r="B991" s="34"/>
      <x:c r="C991" s="34"/>
      <x:c r="D991" s="34"/>
      <x:c r="E991" s="34"/>
      <x:c r="F991" s="35"/>
    </x:row>
    <x:row r="992" ht="24" customHeight="1">
      <x:c r="A992" s="36"/>
      <x:c r="B992" s="34"/>
      <x:c r="C992" s="34"/>
      <x:c r="D992" s="34"/>
      <x:c r="E992" s="34"/>
      <x:c r="F992" s="35"/>
    </x:row>
    <x:row r="993" ht="24" customHeight="1">
      <x:c r="A993" s="36"/>
      <x:c r="B993" s="34"/>
      <x:c r="C993" s="34"/>
      <x:c r="D993" s="34"/>
      <x:c r="E993" s="34"/>
      <x:c r="F993" s="35"/>
    </x:row>
    <x:row r="994" ht="24" customHeight="1">
      <x:c r="A994" s="36"/>
      <x:c r="B994" s="34"/>
      <x:c r="C994" s="34"/>
      <x:c r="D994" s="34"/>
      <x:c r="E994" s="34"/>
      <x:c r="F994" s="35"/>
    </x:row>
    <x:row r="995" ht="24" customHeight="1">
      <x:c r="A995" s="36"/>
      <x:c r="B995" s="34"/>
      <x:c r="C995" s="34"/>
      <x:c r="D995" s="34"/>
      <x:c r="E995" s="34"/>
      <x:c r="F995" s="35"/>
    </x:row>
    <x:row r="996" ht="24" customHeight="1">
      <x:c r="A996" s="36"/>
      <x:c r="B996" s="34"/>
      <x:c r="C996" s="34"/>
      <x:c r="D996" s="34"/>
      <x:c r="E996" s="34"/>
      <x:c r="F996" s="35"/>
    </x:row>
    <x:row r="997" ht="24" customHeight="1">
      <x:c r="A997" s="36"/>
      <x:c r="B997" s="34"/>
      <x:c r="C997" s="34"/>
      <x:c r="D997" s="34"/>
      <x:c r="E997" s="34"/>
      <x:c r="F997" s="35"/>
    </x:row>
    <x:row r="998" ht="24" customHeight="1">
      <x:c r="A998" s="36"/>
      <x:c r="B998" s="34"/>
      <x:c r="C998" s="34"/>
      <x:c r="D998" s="34"/>
      <x:c r="E998" s="34"/>
      <x:c r="F998" s="35"/>
    </x:row>
    <x:row r="999" ht="24" customHeight="1">
      <x:c r="A999" s="36"/>
      <x:c r="B999" s="34"/>
      <x:c r="C999" s="34"/>
      <x:c r="D999" s="34"/>
      <x:c r="E999" s="34"/>
      <x:c r="F999" s="35"/>
    </x:row>
    <x:row r="1000" ht="24" customHeight="1">
      <x:c r="A1000" s="36"/>
      <x:c r="B1000" s="34"/>
      <x:c r="C1000" s="34"/>
      <x:c r="D1000" s="34"/>
      <x:c r="E1000" s="34"/>
      <x:c r="F1000" s="35"/>
    </x:row>
    <x:row r="1001" ht="24" customHeight="1">
      <x:c r="A1001" s="36"/>
      <x:c r="B1001" s="34"/>
      <x:c r="C1001" s="34"/>
      <x:c r="D1001" s="34"/>
      <x:c r="E1001" s="34"/>
      <x:c r="F1001" s="3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8" customHeight="1">
      <x:c r="A1" s="29" t="str">
        <x:v>Frequency Interval</x:v>
      </x:c>
      <x:c r="B1" s="29" t="str">
        <x:v>Category</x:v>
      </x:c>
      <x:c r="C1" s="29" t="str">
        <x:v>Month</x:v>
      </x:c>
      <x:c r="D1" s="29" t="str">
        <x:v>Year</x:v>
      </x:c>
      <x:c r="E1" s="29" t="str">
        <x:v>Amount</x:v>
      </x:c>
      <x:c r="F1" s="29" t="str">
        <x:v>Deduction Item</x:v>
      </x:c>
      <x:c r="G1" s="29" t="str">
        <x:v>Deduction Amount</x:v>
      </x:c>
      <x:c r="H1" s="29" t="str">
        <x:v>Net Income</x:v>
      </x:c>
      <x:c r="I1" s="1"/>
      <x:c r="J1" s="1"/>
      <x:c r="K1" s="1"/>
      <x:c r="L1" s="1"/>
    </x:row>
    <x:row r="2" ht="24" customHeight="1">
      <x:c r="A2" s="34" t="str">
        <x:v>Monthly</x:v>
      </x:c>
      <x:c r="B2" s="34" t="str">
        <x:v>Salary</x:v>
      </x:c>
      <x:c r="C2" s="34" t="str">
        <x:v>January</x:v>
      </x:c>
      <x:c r="D2" s="34" t="n">
        <x:v>2026</x:v>
      </x:c>
      <x:c r="E2" s="35" t="n">
        <x:v>30000</x:v>
      </x:c>
      <x:c r="F2" s="35" t="str">
        <x:v>Tax</x:v>
      </x:c>
      <x:c r="G2" s="35" t="n">
        <x:v>2000</x:v>
      </x:c>
      <x:c r="H2" s="35" t="n">
        <x:f>IF(B2="","",IF(COUNTIFS($B$2:B2,B2,$C$2:C2,C2,$D$2:D2,D2)=1,E2-SUMIFS($G$2:$G$1001,$B$2:$B$1001,B2,$C$2:$C$1001,C2,$D$2:$D$1001,D2),0))</x:f>
        <x:v>27500</x:v>
      </x:c>
      <x:c r="I2" s="1"/>
      <x:c r="J2" s="1"/>
      <x:c r="K2" s="1"/>
      <x:c r="L2" s="1"/>
    </x:row>
    <x:row r="3" ht="24" customHeight="1">
      <x:c r="A3" s="34" t="str">
        <x:v>Monthly</x:v>
      </x:c>
      <x:c r="B3" s="34" t="str">
        <x:v>Salary</x:v>
      </x:c>
      <x:c r="C3" s="34" t="str">
        <x:v>January</x:v>
      </x:c>
      <x:c r="D3" s="34" t="n">
        <x:v>2026</x:v>
      </x:c>
      <x:c r="E3" s="35" t="n">
        <x:v>30000</x:v>
      </x:c>
      <x:c r="F3" s="35" t="str">
        <x:v>SSS</x:v>
      </x:c>
      <x:c r="G3" s="35" t="n">
        <x:v>500</x:v>
      </x:c>
      <x:c r="H3" s="35" t="n">
        <x:f>IF(B3="","",IF(COUNTIFS($B$2:B3,B3,$C$2:C3,C3,$D$2:D3,D3)=1,E3-SUMIFS($G$2:$G$1001,$B$2:$B$1001,B3,$C$2:$C$1001,C3,$D$2:$D$1001,D3),0))</x:f>
        <x:v>0</x:v>
      </x:c>
      <x:c r="I3" s="1"/>
      <x:c r="J3" s="1"/>
      <x:c r="K3" s="1"/>
      <x:c r="L3" s="1"/>
    </x:row>
    <x:row r="4" ht="24" customHeight="1">
      <x:c r="A4" s="34" t="str">
        <x:v>Monthly</x:v>
      </x:c>
      <x:c r="B4" s="34" t="str">
        <x:v>Salary</x:v>
      </x:c>
      <x:c r="C4" s="34" t="str">
        <x:v>February</x:v>
      </x:c>
      <x:c r="D4" s="34" t="n">
        <x:v>2026</x:v>
      </x:c>
      <x:c r="E4" s="35" t="n">
        <x:v>30000</x:v>
      </x:c>
      <x:c r="F4" s="35" t="str">
        <x:v>Tax</x:v>
      </x:c>
      <x:c r="G4" s="35" t="n">
        <x:v>2000</x:v>
      </x:c>
      <x:c r="H4" s="35" t="n">
        <x:f>IF(B4="","",IF(COUNTIFS($B$2:B4,B4,$C$2:C4,C4,$D$2:D4,D4)=1,E4-SUMIFS($G$2:$G$1001,$B$2:$B$1001,B4,$C$2:$C$1001,C4,$D$2:$D$1001,D4),0))</x:f>
        <x:v>28000</x:v>
      </x:c>
      <x:c r="I4" s="1"/>
      <x:c r="J4" s="1"/>
      <x:c r="K4" s="1"/>
      <x:c r="L4" s="1"/>
    </x:row>
    <x:row r="5" ht="24" customHeight="1">
      <x:c r="A5" s="34"/>
      <x:c r="B5" s="34"/>
      <x:c r="C5" s="34"/>
      <x:c r="D5" s="34"/>
      <x:c r="E5" s="35"/>
      <x:c r="F5" s="35"/>
      <x:c r="G5" s="35"/>
      <x:c r="H5" s="35" t="str">
        <x:f>IF(B5="","",IF(COUNTIFS($B$2:B5,B5,$C$2:C5,C5,$D$2:D5,D5)=1,E5-SUMIFS($G$2:$G$1001,$B$2:$B$1001,B5,$C$2:$C$1001,C5,$D$2:$D$1001,D5),0))</x:f>
      </x:c>
      <x:c r="I5" s="1"/>
      <x:c r="J5" s="1"/>
      <x:c r="K5" s="1"/>
      <x:c r="L5" s="1"/>
    </x:row>
    <x:row r="6" ht="24" customHeight="1">
      <x:c r="A6" s="34"/>
      <x:c r="B6" s="34"/>
      <x:c r="C6" s="34"/>
      <x:c r="D6" s="34"/>
      <x:c r="E6" s="35"/>
      <x:c r="F6" s="35"/>
      <x:c r="G6" s="35"/>
      <x:c r="H6" s="35" t="str">
        <x:f>IF(B6="","",IF(COUNTIFS($B$2:B6,B6,$C$2:C6,C6,$D$2:D6,D6)=1,E6-SUMIFS($G$2:$G$1001,$B$2:$B$1001,B6,$C$2:$C$1001,C6,$D$2:$D$1001,D6),0))</x:f>
      </x:c>
      <x:c r="I6" s="1"/>
      <x:c r="J6" s="1"/>
      <x:c r="K6" s="1"/>
      <x:c r="L6" s="1"/>
    </x:row>
    <x:row r="7" ht="24" customHeight="1">
      <x:c r="A7" s="34"/>
      <x:c r="B7" s="34"/>
      <x:c r="C7" s="34"/>
      <x:c r="D7" s="34"/>
      <x:c r="E7" s="35"/>
      <x:c r="F7" s="35"/>
      <x:c r="G7" s="35"/>
      <x:c r="H7" s="35" t="str">
        <x:f>IF(B7="","",IF(COUNTIFS($B$2:B7,B7,$C$2:C7,C7,$D$2:D7,D7)=1,E7-SUMIFS($G$2:$G$1001,$B$2:$B$1001,B7,$C$2:$C$1001,C7,$D$2:$D$1001,D7),0))</x:f>
      </x:c>
      <x:c r="I7" s="1"/>
      <x:c r="J7" s="1"/>
      <x:c r="K7" s="1"/>
      <x:c r="L7" s="1"/>
    </x:row>
    <x:row r="8" ht="24" customHeight="1">
      <x:c r="A8" s="34"/>
      <x:c r="B8" s="34"/>
      <x:c r="C8" s="34"/>
      <x:c r="D8" s="34"/>
      <x:c r="E8" s="35"/>
      <x:c r="F8" s="35"/>
      <x:c r="G8" s="35"/>
      <x:c r="H8" s="35" t="str">
        <x:f>IF(B8="","",IF(COUNTIFS($B$2:B8,B8,$C$2:C8,C8,$D$2:D8,D8)=1,E8-SUMIFS($G$2:$G$1001,$B$2:$B$1001,B8,$C$2:$C$1001,C8,$D$2:$D$1001,D8),0))</x:f>
      </x:c>
      <x:c r="I8" s="1"/>
      <x:c r="J8" s="1"/>
      <x:c r="K8" s="1"/>
      <x:c r="L8" s="1"/>
    </x:row>
    <x:row r="9" ht="24" customHeight="1">
      <x:c r="A9" s="34"/>
      <x:c r="B9" s="34"/>
      <x:c r="C9" s="34"/>
      <x:c r="D9" s="34"/>
      <x:c r="E9" s="35"/>
      <x:c r="F9" s="35"/>
      <x:c r="G9" s="35"/>
      <x:c r="H9" s="35" t="str">
        <x:f>IF(B9="","",IF(COUNTIFS($B$2:B9,B9,$C$2:C9,C9,$D$2:D9,D9)=1,E9-SUMIFS($G$2:$G$1001,$B$2:$B$1001,B9,$C$2:$C$1001,C9,$D$2:$D$1001,D9),0))</x:f>
      </x:c>
      <x:c r="I9" s="1"/>
      <x:c r="J9" s="1"/>
      <x:c r="K9" s="1"/>
      <x:c r="L9" s="1"/>
    </x:row>
    <x:row r="10" ht="24" customHeight="1">
      <x:c r="A10" s="34"/>
      <x:c r="B10" s="34"/>
      <x:c r="C10" s="34"/>
      <x:c r="D10" s="34"/>
      <x:c r="E10" s="35"/>
      <x:c r="F10" s="35"/>
      <x:c r="G10" s="35"/>
      <x:c r="H10" s="35" t="str">
        <x:f>IF(B10="","",IF(COUNTIFS($B$2:B10,B10,$C$2:C10,C10,$D$2:D10,D10)=1,E10-SUMIFS($G$2:$G$1001,$B$2:$B$1001,B10,$C$2:$C$1001,C10,$D$2:$D$1001,D10),0))</x:f>
      </x:c>
      <x:c r="I10" s="1"/>
      <x:c r="J10" s="1"/>
      <x:c r="K10" s="1"/>
      <x:c r="L10" s="1"/>
    </x:row>
    <x:row r="11" ht="24" customHeight="1">
      <x:c r="A11" s="34"/>
      <x:c r="B11" s="34"/>
      <x:c r="C11" s="34"/>
      <x:c r="D11" s="34"/>
      <x:c r="E11" s="35"/>
      <x:c r="F11" s="35"/>
      <x:c r="G11" s="35"/>
      <x:c r="H11" s="35" t="str">
        <x:f>IF(B11="","",IF(COUNTIFS($B$2:B11,B11,$C$2:C11,C11,$D$2:D11,D11)=1,E11-SUMIFS($G$2:$G$1001,$B$2:$B$1001,B11,$C$2:$C$1001,C11,$D$2:$D$1001,D11),0))</x:f>
      </x:c>
      <x:c r="I11" s="1"/>
      <x:c r="J11" s="1"/>
      <x:c r="K11" s="1"/>
      <x:c r="L11" s="1"/>
    </x:row>
    <x:row r="12" ht="24" customHeight="1">
      <x:c r="A12" s="34"/>
      <x:c r="B12" s="34"/>
      <x:c r="C12" s="34"/>
      <x:c r="D12" s="34"/>
      <x:c r="E12" s="35"/>
      <x:c r="F12" s="35"/>
      <x:c r="G12" s="35"/>
      <x:c r="H12" s="35" t="str">
        <x:f>IF(B12="","",IF(COUNTIFS($B$2:B12,B12,$C$2:C12,C12,$D$2:D12,D12)=1,E12-SUMIFS($G$2:$G$1001,$B$2:$B$1001,B12,$C$2:$C$1001,C12,$D$2:$D$1001,D12),0))</x:f>
      </x:c>
      <x:c r="I12" s="1"/>
      <x:c r="J12" s="1"/>
      <x:c r="K12" s="1"/>
      <x:c r="L12" s="1"/>
    </x:row>
    <x:row r="13" ht="24" customHeight="1">
      <x:c r="A13" s="34"/>
      <x:c r="B13" s="34"/>
      <x:c r="C13" s="34"/>
      <x:c r="D13" s="34"/>
      <x:c r="E13" s="35"/>
      <x:c r="F13" s="35"/>
      <x:c r="G13" s="35"/>
      <x:c r="H13" s="35" t="str">
        <x:f>IF(B13="","",IF(COUNTIFS($B$2:B13,B13,$C$2:C13,C13,$D$2:D13,D13)=1,E13-SUMIFS($G$2:$G$1001,$B$2:$B$1001,B13,$C$2:$C$1001,C13,$D$2:$D$1001,D13),0))</x:f>
      </x:c>
      <x:c r="I13" s="1"/>
      <x:c r="J13" s="1"/>
      <x:c r="K13" s="1"/>
      <x:c r="L13" s="1"/>
    </x:row>
    <x:row r="14" ht="24" customHeight="1">
      <x:c r="A14" s="34"/>
      <x:c r="B14" s="34"/>
      <x:c r="C14" s="34"/>
      <x:c r="D14" s="34"/>
      <x:c r="E14" s="35"/>
      <x:c r="F14" s="35"/>
      <x:c r="G14" s="35"/>
      <x:c r="H14" s="35" t="str">
        <x:f>IF(B14="","",IF(COUNTIFS($B$2:B14,B14,$C$2:C14,C14,$D$2:D14,D14)=1,E14-SUMIFS($G$2:$G$1001,$B$2:$B$1001,B14,$C$2:$C$1001,C14,$D$2:$D$1001,D14),0))</x:f>
      </x:c>
      <x:c r="I14" s="1"/>
      <x:c r="J14" s="1"/>
      <x:c r="K14" s="1"/>
      <x:c r="L14" s="1"/>
    </x:row>
    <x:row r="15" ht="24" customHeight="1">
      <x:c r="A15" s="34"/>
      <x:c r="B15" s="34"/>
      <x:c r="C15" s="34"/>
      <x:c r="D15" s="34"/>
      <x:c r="E15" s="35"/>
      <x:c r="F15" s="35"/>
      <x:c r="G15" s="35"/>
      <x:c r="H15" s="35" t="str">
        <x:f>IF(B15="","",IF(COUNTIFS($B$2:B15,B15,$C$2:C15,C15,$D$2:D15,D15)=1,E15-SUMIFS($G$2:$G$1001,$B$2:$B$1001,B15,$C$2:$C$1001,C15,$D$2:$D$1001,D15),0))</x:f>
      </x:c>
      <x:c r="I15" s="1"/>
      <x:c r="J15" s="1"/>
      <x:c r="K15" s="1"/>
      <x:c r="L15" s="1"/>
    </x:row>
    <x:row r="16" ht="24" customHeight="1">
      <x:c r="A16" s="34"/>
      <x:c r="B16" s="34"/>
      <x:c r="C16" s="34"/>
      <x:c r="D16" s="34"/>
      <x:c r="E16" s="35"/>
      <x:c r="F16" s="35"/>
      <x:c r="G16" s="35"/>
      <x:c r="H16" s="35" t="str">
        <x:f>IF(B16="","",IF(COUNTIFS($B$2:B16,B16,$C$2:C16,C16,$D$2:D16,D16)=1,E16-SUMIFS($G$2:$G$1001,$B$2:$B$1001,B16,$C$2:$C$1001,C16,$D$2:$D$1001,D16),0))</x:f>
      </x:c>
      <x:c r="I16" s="1"/>
      <x:c r="J16" s="1"/>
      <x:c r="K16" s="1"/>
      <x:c r="L16" s="1"/>
    </x:row>
    <x:row r="17" ht="24" customHeight="1">
      <x:c r="A17" s="34"/>
      <x:c r="B17" s="34"/>
      <x:c r="C17" s="34"/>
      <x:c r="D17" s="34"/>
      <x:c r="E17" s="35"/>
      <x:c r="F17" s="35"/>
      <x:c r="G17" s="35"/>
      <x:c r="H17" s="35" t="str">
        <x:f>IF(B17="","",IF(COUNTIFS($B$2:B17,B17,$C$2:C17,C17,$D$2:D17,D17)=1,E17-SUMIFS($G$2:$G$1001,$B$2:$B$1001,B17,$C$2:$C$1001,C17,$D$2:$D$1001,D17),0))</x:f>
      </x:c>
      <x:c r="I17" s="1"/>
      <x:c r="J17" s="1"/>
      <x:c r="K17" s="1"/>
      <x:c r="L17" s="1"/>
    </x:row>
    <x:row r="18" ht="24" customHeight="1">
      <x:c r="A18" s="34"/>
      <x:c r="B18" s="34"/>
      <x:c r="C18" s="34"/>
      <x:c r="D18" s="34"/>
      <x:c r="E18" s="35"/>
      <x:c r="F18" s="35"/>
      <x:c r="G18" s="35"/>
      <x:c r="H18" s="35" t="str">
        <x:f>IF(B18="","",IF(COUNTIFS($B$2:B18,B18,$C$2:C18,C18,$D$2:D18,D18)=1,E18-SUMIFS($G$2:$G$1001,$B$2:$B$1001,B18,$C$2:$C$1001,C18,$D$2:$D$1001,D18),0))</x:f>
      </x:c>
      <x:c r="I18" s="1"/>
      <x:c r="J18" s="1"/>
      <x:c r="K18" s="1"/>
      <x:c r="L18" s="1"/>
    </x:row>
    <x:row r="19" ht="24" customHeight="1">
      <x:c r="A19" s="34"/>
      <x:c r="B19" s="34"/>
      <x:c r="C19" s="34"/>
      <x:c r="D19" s="34"/>
      <x:c r="E19" s="35"/>
      <x:c r="F19" s="35"/>
      <x:c r="G19" s="35"/>
      <x:c r="H19" s="35" t="str">
        <x:f>IF(B19="","",IF(COUNTIFS($B$2:B19,B19,$C$2:C19,C19,$D$2:D19,D19)=1,E19-SUMIFS($G$2:$G$1001,$B$2:$B$1001,B19,$C$2:$C$1001,C19,$D$2:$D$1001,D19),0))</x:f>
      </x:c>
      <x:c r="I19" s="1"/>
      <x:c r="J19" s="1"/>
      <x:c r="K19" s="1"/>
      <x:c r="L19" s="1"/>
    </x:row>
    <x:row r="20" ht="24" customHeight="1">
      <x:c r="A20" s="34"/>
      <x:c r="B20" s="34"/>
      <x:c r="C20" s="34"/>
      <x:c r="D20" s="34"/>
      <x:c r="E20" s="35"/>
      <x:c r="F20" s="35"/>
      <x:c r="G20" s="35"/>
      <x:c r="H20" s="35" t="str">
        <x:f>IF(B20="","",IF(COUNTIFS($B$2:B20,B20,$C$2:C20,C20,$D$2:D20,D20)=1,E20-SUMIFS($G$2:$G$1001,$B$2:$B$1001,B20,$C$2:$C$1001,C20,$D$2:$D$1001,D20),0))</x:f>
      </x:c>
      <x:c r="I20" s="1"/>
      <x:c r="J20" s="1"/>
      <x:c r="K20" s="1"/>
      <x:c r="L20" s="1"/>
    </x:row>
    <x:row r="21" ht="24" customHeight="1">
      <x:c r="A21" s="34"/>
      <x:c r="B21" s="34"/>
      <x:c r="C21" s="34"/>
      <x:c r="D21" s="34"/>
      <x:c r="E21" s="35"/>
      <x:c r="F21" s="35"/>
      <x:c r="G21" s="35"/>
      <x:c r="H21" s="35" t="str">
        <x:f>IF(B21="","",IF(COUNTIFS($B$2:B21,B21,$C$2:C21,C21,$D$2:D21,D21)=1,E21-SUMIFS($G$2:$G$1001,$B$2:$B$1001,B21,$C$2:$C$1001,C21,$D$2:$D$1001,D21),0))</x:f>
      </x:c>
      <x:c r="I21" s="1"/>
      <x:c r="J21" s="1"/>
      <x:c r="K21" s="1"/>
      <x:c r="L21" s="1"/>
    </x:row>
    <x:row r="22" ht="24" customHeight="1">
      <x:c r="A22" s="34"/>
      <x:c r="B22" s="34"/>
      <x:c r="C22" s="34"/>
      <x:c r="D22" s="34"/>
      <x:c r="E22" s="35"/>
      <x:c r="F22" s="35"/>
      <x:c r="G22" s="35"/>
      <x:c r="H22" s="35" t="str">
        <x:f>IF(B22="","",IF(COUNTIFS($B$2:B22,B22,$C$2:C22,C22,$D$2:D22,D22)=1,E22-SUMIFS($G$2:$G$1001,$B$2:$B$1001,B22,$C$2:$C$1001,C22,$D$2:$D$1001,D22),0))</x:f>
      </x:c>
      <x:c r="I22" s="1"/>
      <x:c r="J22" s="1"/>
      <x:c r="K22" s="1"/>
      <x:c r="L22" s="1"/>
    </x:row>
    <x:row r="23" ht="24" customHeight="1">
      <x:c r="A23" s="34"/>
      <x:c r="B23" s="34"/>
      <x:c r="C23" s="34"/>
      <x:c r="D23" s="34"/>
      <x:c r="E23" s="35"/>
      <x:c r="F23" s="35"/>
      <x:c r="G23" s="35"/>
      <x:c r="H23" s="35" t="str">
        <x:f>IF(B23="","",IF(COUNTIFS($B$2:B23,B23,$C$2:C23,C23,$D$2:D23,D23)=1,E23-SUMIFS($G$2:$G$1001,$B$2:$B$1001,B23,$C$2:$C$1001,C23,$D$2:$D$1001,D23),0))</x:f>
      </x:c>
      <x:c r="I23" s="1"/>
      <x:c r="J23" s="1"/>
      <x:c r="K23" s="1"/>
      <x:c r="L23" s="1"/>
    </x:row>
    <x:row r="24" ht="24" customHeight="1">
      <x:c r="A24" s="34"/>
      <x:c r="B24" s="34"/>
      <x:c r="C24" s="34"/>
      <x:c r="D24" s="34"/>
      <x:c r="E24" s="35"/>
      <x:c r="F24" s="35"/>
      <x:c r="G24" s="35"/>
      <x:c r="H24" s="35" t="str">
        <x:f>IF(B24="","",IF(COUNTIFS($B$2:B24,B24,$C$2:C24,C24,$D$2:D24,D24)=1,E24-SUMIFS($G$2:$G$1001,$B$2:$B$1001,B24,$C$2:$C$1001,C24,$D$2:$D$1001,D24),0))</x:f>
      </x:c>
      <x:c r="I24" s="1"/>
      <x:c r="J24" s="1"/>
      <x:c r="K24" s="1"/>
      <x:c r="L24" s="1"/>
    </x:row>
    <x:row r="25" ht="24" customHeight="1">
      <x:c r="A25" s="34"/>
      <x:c r="B25" s="34"/>
      <x:c r="C25" s="34"/>
      <x:c r="D25" s="34"/>
      <x:c r="E25" s="35"/>
      <x:c r="F25" s="35"/>
      <x:c r="G25" s="35"/>
      <x:c r="H25" s="35" t="str">
        <x:f>IF(B25="","",IF(COUNTIFS($B$2:B25,B25,$C$2:C25,C25,$D$2:D25,D25)=1,E25-SUMIFS($G$2:$G$1001,$B$2:$B$1001,B25,$C$2:$C$1001,C25,$D$2:$D$1001,D25),0))</x:f>
      </x:c>
      <x:c r="I25" s="1"/>
      <x:c r="J25" s="1"/>
      <x:c r="K25" s="1"/>
      <x:c r="L25" s="1"/>
    </x:row>
    <x:row r="26" ht="24" customHeight="1">
      <x:c r="A26" s="34"/>
      <x:c r="B26" s="34"/>
      <x:c r="C26" s="34"/>
      <x:c r="D26" s="34"/>
      <x:c r="E26" s="35"/>
      <x:c r="F26" s="35"/>
      <x:c r="G26" s="35"/>
      <x:c r="H26" s="35" t="str">
        <x:f>IF(B26="","",IF(COUNTIFS($B$2:B26,B26,$C$2:C26,C26,$D$2:D26,D26)=1,E26-SUMIFS($G$2:$G$1001,$B$2:$B$1001,B26,$C$2:$C$1001,C26,$D$2:$D$1001,D26),0))</x:f>
      </x:c>
      <x:c r="I26" s="1"/>
      <x:c r="J26" s="1"/>
      <x:c r="K26" s="1"/>
      <x:c r="L26" s="1"/>
    </x:row>
    <x:row r="27" ht="24" customHeight="1">
      <x:c r="A27" s="34"/>
      <x:c r="B27" s="34"/>
      <x:c r="C27" s="34"/>
      <x:c r="D27" s="34"/>
      <x:c r="E27" s="35"/>
      <x:c r="F27" s="35"/>
      <x:c r="G27" s="35"/>
      <x:c r="H27" s="35" t="str">
        <x:f>IF(B27="","",IF(COUNTIFS($B$2:B27,B27,$C$2:C27,C27,$D$2:D27,D27)=1,E27-SUMIFS($G$2:$G$1001,$B$2:$B$1001,B27,$C$2:$C$1001,C27,$D$2:$D$1001,D27),0))</x:f>
      </x:c>
      <x:c r="I27" s="1"/>
      <x:c r="J27" s="1"/>
      <x:c r="K27" s="1"/>
      <x:c r="L27" s="1"/>
    </x:row>
    <x:row r="28" ht="24" customHeight="1">
      <x:c r="A28" s="34"/>
      <x:c r="B28" s="34"/>
      <x:c r="C28" s="34"/>
      <x:c r="D28" s="34"/>
      <x:c r="E28" s="35"/>
      <x:c r="F28" s="35"/>
      <x:c r="G28" s="35"/>
      <x:c r="H28" s="35" t="str">
        <x:f>IF(B28="","",IF(COUNTIFS($B$2:B28,B28,$C$2:C28,C28,$D$2:D28,D28)=1,E28-SUMIFS($G$2:$G$1001,$B$2:$B$1001,B28,$C$2:$C$1001,C28,$D$2:$D$1001,D28),0))</x:f>
      </x:c>
      <x:c r="I28" s="1"/>
      <x:c r="J28" s="1"/>
      <x:c r="K28" s="1"/>
      <x:c r="L28" s="1"/>
    </x:row>
    <x:row r="29" ht="24" customHeight="1">
      <x:c r="A29" s="34"/>
      <x:c r="B29" s="34"/>
      <x:c r="C29" s="34"/>
      <x:c r="D29" s="34"/>
      <x:c r="E29" s="35"/>
      <x:c r="F29" s="35"/>
      <x:c r="G29" s="35"/>
      <x:c r="H29" s="35" t="str">
        <x:f>IF(B29="","",IF(COUNTIFS($B$2:B29,B29,$C$2:C29,C29,$D$2:D29,D29)=1,E29-SUMIFS($G$2:$G$1001,$B$2:$B$1001,B29,$C$2:$C$1001,C29,$D$2:$D$1001,D29),0))</x:f>
      </x:c>
      <x:c r="I29" s="1"/>
      <x:c r="J29" s="1"/>
      <x:c r="K29" s="1"/>
      <x:c r="L29" s="1"/>
    </x:row>
    <x:row r="30" ht="24" customHeight="1">
      <x:c r="A30" s="34"/>
      <x:c r="B30" s="34"/>
      <x:c r="C30" s="34"/>
      <x:c r="D30" s="34"/>
      <x:c r="E30" s="35"/>
      <x:c r="F30" s="35"/>
      <x:c r="G30" s="35"/>
      <x:c r="H30" s="35" t="str">
        <x:f>IF(B30="","",IF(COUNTIFS($B$2:B30,B30,$C$2:C30,C30,$D$2:D30,D30)=1,E30-SUMIFS($G$2:$G$1001,$B$2:$B$1001,B30,$C$2:$C$1001,C30,$D$2:$D$1001,D30),0))</x:f>
      </x:c>
      <x:c r="I30" s="1"/>
      <x:c r="J30" s="1"/>
      <x:c r="K30" s="1"/>
      <x:c r="L30" s="1"/>
    </x:row>
    <x:row r="31" ht="24" customHeight="1">
      <x:c r="A31" s="34"/>
      <x:c r="B31" s="34"/>
      <x:c r="C31" s="34"/>
      <x:c r="D31" s="34"/>
      <x:c r="E31" s="35"/>
      <x:c r="F31" s="35"/>
      <x:c r="G31" s="35"/>
      <x:c r="H31" s="35" t="str">
        <x:f>IF(B31="","",IF(COUNTIFS($B$2:B31,B31,$C$2:C31,C31,$D$2:D31,D31)=1,E31-SUMIFS($G$2:$G$1001,$B$2:$B$1001,B31,$C$2:$C$1001,C31,$D$2:$D$1001,D31),0))</x:f>
      </x:c>
      <x:c r="I31" s="1"/>
      <x:c r="J31" s="1"/>
      <x:c r="K31" s="1"/>
      <x:c r="L31" s="1"/>
    </x:row>
    <x:row r="32" ht="24" customHeight="1">
      <x:c r="A32" s="34"/>
      <x:c r="B32" s="34"/>
      <x:c r="C32" s="34"/>
      <x:c r="D32" s="34"/>
      <x:c r="E32" s="35"/>
      <x:c r="F32" s="35"/>
      <x:c r="G32" s="35"/>
      <x:c r="H32" s="35" t="str">
        <x:f>IF(B32="","",IF(COUNTIFS($B$2:B32,B32,$C$2:C32,C32,$D$2:D32,D32)=1,E32-SUMIFS($G$2:$G$1001,$B$2:$B$1001,B32,$C$2:$C$1001,C32,$D$2:$D$1001,D32),0))</x:f>
      </x:c>
      <x:c r="I32" s="1"/>
      <x:c r="J32" s="1"/>
      <x:c r="K32" s="1"/>
      <x:c r="L32" s="1"/>
    </x:row>
    <x:row r="33" ht="24" customHeight="1">
      <x:c r="A33" s="34"/>
      <x:c r="B33" s="34"/>
      <x:c r="C33" s="34"/>
      <x:c r="D33" s="34"/>
      <x:c r="E33" s="35"/>
      <x:c r="F33" s="35"/>
      <x:c r="G33" s="35"/>
      <x:c r="H33" s="35" t="str">
        <x:f>IF(B33="","",IF(COUNTIFS($B$2:B33,B33,$C$2:C33,C33,$D$2:D33,D33)=1,E33-SUMIFS($G$2:$G$1001,$B$2:$B$1001,B33,$C$2:$C$1001,C33,$D$2:$D$1001,D33),0))</x:f>
      </x:c>
      <x:c r="I33" s="1"/>
      <x:c r="J33" s="1"/>
      <x:c r="K33" s="1"/>
      <x:c r="L33" s="1"/>
    </x:row>
    <x:row r="34" ht="24" customHeight="1">
      <x:c r="A34" s="34"/>
      <x:c r="B34" s="34"/>
      <x:c r="C34" s="34"/>
      <x:c r="D34" s="34"/>
      <x:c r="E34" s="35"/>
      <x:c r="F34" s="35"/>
      <x:c r="G34" s="35"/>
      <x:c r="H34" s="35" t="str">
        <x:f>IF(B34="","",IF(COUNTIFS($B$2:B34,B34,$C$2:C34,C34,$D$2:D34,D34)=1,E34-SUMIFS($G$2:$G$1001,$B$2:$B$1001,B34,$C$2:$C$1001,C34,$D$2:$D$1001,D34),0))</x:f>
      </x:c>
      <x:c r="I34" s="1"/>
      <x:c r="J34" s="1"/>
      <x:c r="K34" s="1"/>
      <x:c r="L34" s="1"/>
    </x:row>
    <x:row r="35" ht="24" customHeight="1">
      <x:c r="A35" s="34"/>
      <x:c r="B35" s="34"/>
      <x:c r="C35" s="34"/>
      <x:c r="D35" s="34"/>
      <x:c r="E35" s="35"/>
      <x:c r="F35" s="35"/>
      <x:c r="G35" s="35"/>
      <x:c r="H35" s="35" t="str">
        <x:f>IF(B35="","",IF(COUNTIFS($B$2:B35,B35,$C$2:C35,C35,$D$2:D35,D35)=1,E35-SUMIFS($G$2:$G$1001,$B$2:$B$1001,B35,$C$2:$C$1001,C35,$D$2:$D$1001,D35),0))</x:f>
      </x:c>
      <x:c r="I35" s="1"/>
      <x:c r="J35" s="1"/>
      <x:c r="K35" s="1"/>
      <x:c r="L35" s="1"/>
    </x:row>
    <x:row r="36" ht="24" customHeight="1">
      <x:c r="A36" s="34"/>
      <x:c r="B36" s="34"/>
      <x:c r="C36" s="34"/>
      <x:c r="D36" s="34"/>
      <x:c r="E36" s="35"/>
      <x:c r="F36" s="35"/>
      <x:c r="G36" s="35"/>
      <x:c r="H36" s="35" t="str">
        <x:f>IF(B36="","",IF(COUNTIFS($B$2:B36,B36,$C$2:C36,C36,$D$2:D36,D36)=1,E36-SUMIFS($G$2:$G$1001,$B$2:$B$1001,B36,$C$2:$C$1001,C36,$D$2:$D$1001,D36),0))</x:f>
      </x:c>
      <x:c r="I36" s="1"/>
      <x:c r="J36" s="1"/>
      <x:c r="K36" s="1"/>
      <x:c r="L36" s="1"/>
    </x:row>
    <x:row r="37" ht="24" customHeight="1">
      <x:c r="A37" s="34"/>
      <x:c r="B37" s="34"/>
      <x:c r="C37" s="34"/>
      <x:c r="D37" s="34"/>
      <x:c r="E37" s="35"/>
      <x:c r="F37" s="35"/>
      <x:c r="G37" s="35"/>
      <x:c r="H37" s="35" t="str">
        <x:f>IF(B37="","",IF(COUNTIFS($B$2:B37,B37,$C$2:C37,C37,$D$2:D37,D37)=1,E37-SUMIFS($G$2:$G$1001,$B$2:$B$1001,B37,$C$2:$C$1001,C37,$D$2:$D$1001,D37),0))</x:f>
      </x:c>
      <x:c r="I37" s="1"/>
      <x:c r="J37" s="1"/>
      <x:c r="K37" s="1"/>
      <x:c r="L37" s="1"/>
    </x:row>
    <x:row r="38" ht="24" customHeight="1">
      <x:c r="A38" s="34"/>
      <x:c r="B38" s="34"/>
      <x:c r="C38" s="34"/>
      <x:c r="D38" s="34"/>
      <x:c r="E38" s="35"/>
      <x:c r="F38" s="35"/>
      <x:c r="G38" s="35"/>
      <x:c r="H38" s="35" t="str">
        <x:f>IF(B38="","",IF(COUNTIFS($B$2:B38,B38,$C$2:C38,C38,$D$2:D38,D38)=1,E38-SUMIFS($G$2:$G$1001,$B$2:$B$1001,B38,$C$2:$C$1001,C38,$D$2:$D$1001,D38),0))</x:f>
      </x:c>
      <x:c r="I38" s="1"/>
      <x:c r="J38" s="1"/>
      <x:c r="K38" s="1"/>
      <x:c r="L38" s="1"/>
    </x:row>
    <x:row r="39" ht="24" customHeight="1">
      <x:c r="A39" s="34"/>
      <x:c r="B39" s="34"/>
      <x:c r="C39" s="34"/>
      <x:c r="D39" s="34"/>
      <x:c r="E39" s="35"/>
      <x:c r="F39" s="35"/>
      <x:c r="G39" s="35"/>
      <x:c r="H39" s="35" t="str">
        <x:f>IF(B39="","",IF(COUNTIFS($B$2:B39,B39,$C$2:C39,C39,$D$2:D39,D39)=1,E39-SUMIFS($G$2:$G$1001,$B$2:$B$1001,B39,$C$2:$C$1001,C39,$D$2:$D$1001,D39),0))</x:f>
      </x:c>
      <x:c r="I39" s="1"/>
      <x:c r="J39" s="1"/>
      <x:c r="K39" s="1"/>
      <x:c r="L39" s="1"/>
    </x:row>
    <x:row r="40" ht="24" customHeight="1">
      <x:c r="A40" s="34"/>
      <x:c r="B40" s="34"/>
      <x:c r="C40" s="34"/>
      <x:c r="D40" s="34"/>
      <x:c r="E40" s="35"/>
      <x:c r="F40" s="35"/>
      <x:c r="G40" s="35"/>
      <x:c r="H40" s="35" t="str">
        <x:f>IF(B40="","",IF(COUNTIFS($B$2:B40,B40,$C$2:C40,C40,$D$2:D40,D40)=1,E40-SUMIFS($G$2:$G$1001,$B$2:$B$1001,B40,$C$2:$C$1001,C40,$D$2:$D$1001,D40),0))</x:f>
      </x:c>
      <x:c r="I40" s="1"/>
      <x:c r="J40" s="1"/>
      <x:c r="K40" s="1"/>
      <x:c r="L40" s="1"/>
    </x:row>
    <x:row r="41" ht="24" customHeight="1">
      <x:c r="A41" s="34"/>
      <x:c r="B41" s="34"/>
      <x:c r="C41" s="34"/>
      <x:c r="D41" s="34"/>
      <x:c r="E41" s="35"/>
      <x:c r="F41" s="35"/>
      <x:c r="G41" s="35"/>
      <x:c r="H41" s="35" t="str">
        <x:f>IF(B41="","",IF(COUNTIFS($B$2:B41,B41,$C$2:C41,C41,$D$2:D41,D41)=1,E41-SUMIFS($G$2:$G$1001,$B$2:$B$1001,B41,$C$2:$C$1001,C41,$D$2:$D$1001,D41),0))</x:f>
      </x:c>
      <x:c r="I41" s="1"/>
      <x:c r="J41" s="1"/>
      <x:c r="K41" s="1"/>
      <x:c r="L41" s="1"/>
    </x:row>
    <x:row r="42" ht="24" customHeight="1">
      <x:c r="A42" s="34"/>
      <x:c r="B42" s="34"/>
      <x:c r="C42" s="34"/>
      <x:c r="D42" s="34"/>
      <x:c r="E42" s="35"/>
      <x:c r="F42" s="35"/>
      <x:c r="G42" s="35"/>
      <x:c r="H42" s="35" t="str">
        <x:f>IF(B42="","",IF(COUNTIFS($B$2:B42,B42,$C$2:C42,C42,$D$2:D42,D42)=1,E42-SUMIFS($G$2:$G$1001,$B$2:$B$1001,B42,$C$2:$C$1001,C42,$D$2:$D$1001,D42),0))</x:f>
      </x:c>
      <x:c r="I42" s="1"/>
      <x:c r="J42" s="1"/>
      <x:c r="K42" s="1"/>
      <x:c r="L42" s="1"/>
    </x:row>
    <x:row r="43" ht="24" customHeight="1">
      <x:c r="A43" s="34"/>
      <x:c r="B43" s="34"/>
      <x:c r="C43" s="34"/>
      <x:c r="D43" s="34"/>
      <x:c r="E43" s="35"/>
      <x:c r="F43" s="35"/>
      <x:c r="G43" s="35"/>
      <x:c r="H43" s="35" t="str">
        <x:f>IF(B43="","",IF(COUNTIFS($B$2:B43,B43,$C$2:C43,C43,$D$2:D43,D43)=1,E43-SUMIFS($G$2:$G$1001,$B$2:$B$1001,B43,$C$2:$C$1001,C43,$D$2:$D$1001,D43),0))</x:f>
      </x:c>
      <x:c r="I43" s="1"/>
      <x:c r="J43" s="1"/>
      <x:c r="K43" s="1"/>
      <x:c r="L43" s="1"/>
    </x:row>
    <x:row r="44" ht="24" customHeight="1">
      <x:c r="A44" s="34"/>
      <x:c r="B44" s="34"/>
      <x:c r="C44" s="34"/>
      <x:c r="D44" s="34"/>
      <x:c r="E44" s="35"/>
      <x:c r="F44" s="35"/>
      <x:c r="G44" s="35"/>
      <x:c r="H44" s="35" t="str">
        <x:f>IF(B44="","",IF(COUNTIFS($B$2:B44,B44,$C$2:C44,C44,$D$2:D44,D44)=1,E44-SUMIFS($G$2:$G$1001,$B$2:$B$1001,B44,$C$2:$C$1001,C44,$D$2:$D$1001,D44),0))</x:f>
      </x:c>
      <x:c r="I44" s="1"/>
      <x:c r="J44" s="1"/>
      <x:c r="K44" s="1"/>
      <x:c r="L44" s="1"/>
    </x:row>
    <x:row r="45" ht="24" customHeight="1">
      <x:c r="A45" s="34"/>
      <x:c r="B45" s="34"/>
      <x:c r="C45" s="34"/>
      <x:c r="D45" s="34"/>
      <x:c r="E45" s="35"/>
      <x:c r="F45" s="35"/>
      <x:c r="G45" s="35"/>
      <x:c r="H45" s="35" t="str">
        <x:f>IF(B45="","",IF(COUNTIFS($B$2:B45,B45,$C$2:C45,C45,$D$2:D45,D45)=1,E45-SUMIFS($G$2:$G$1001,$B$2:$B$1001,B45,$C$2:$C$1001,C45,$D$2:$D$1001,D45),0))</x:f>
      </x:c>
      <x:c r="I45" s="1"/>
      <x:c r="J45" s="1"/>
      <x:c r="K45" s="1"/>
      <x:c r="L45" s="1"/>
    </x:row>
    <x:row r="46" ht="24" customHeight="1">
      <x:c r="A46" s="34"/>
      <x:c r="B46" s="34"/>
      <x:c r="C46" s="34"/>
      <x:c r="D46" s="34"/>
      <x:c r="E46" s="35"/>
      <x:c r="F46" s="35"/>
      <x:c r="G46" s="35"/>
      <x:c r="H46" s="35" t="str">
        <x:f>IF(B46="","",IF(COUNTIFS($B$2:B46,B46,$C$2:C46,C46,$D$2:D46,D46)=1,E46-SUMIFS($G$2:$G$1001,$B$2:$B$1001,B46,$C$2:$C$1001,C46,$D$2:$D$1001,D46),0))</x:f>
      </x:c>
      <x:c r="I46" s="1"/>
      <x:c r="J46" s="1"/>
      <x:c r="K46" s="1"/>
      <x:c r="L46" s="1"/>
    </x:row>
    <x:row r="47" ht="24" customHeight="1">
      <x:c r="A47" s="34"/>
      <x:c r="B47" s="34"/>
      <x:c r="C47" s="34"/>
      <x:c r="D47" s="34"/>
      <x:c r="E47" s="35"/>
      <x:c r="F47" s="35"/>
      <x:c r="G47" s="35"/>
      <x:c r="H47" s="35" t="str">
        <x:f>IF(B47="","",IF(COUNTIFS($B$2:B47,B47,$C$2:C47,C47,$D$2:D47,D47)=1,E47-SUMIFS($G$2:$G$1001,$B$2:$B$1001,B47,$C$2:$C$1001,C47,$D$2:$D$1001,D47),0))</x:f>
      </x:c>
      <x:c r="I47" s="1"/>
      <x:c r="J47" s="1"/>
      <x:c r="K47" s="1"/>
      <x:c r="L47" s="1"/>
    </x:row>
    <x:row r="48" ht="24" customHeight="1">
      <x:c r="A48" s="34"/>
      <x:c r="B48" s="34"/>
      <x:c r="C48" s="34"/>
      <x:c r="D48" s="34"/>
      <x:c r="E48" s="35"/>
      <x:c r="F48" s="35"/>
      <x:c r="G48" s="35"/>
      <x:c r="H48" s="35" t="str">
        <x:f>IF(B48="","",IF(COUNTIFS($B$2:B48,B48,$C$2:C48,C48,$D$2:D48,D48)=1,E48-SUMIFS($G$2:$G$1001,$B$2:$B$1001,B48,$C$2:$C$1001,C48,$D$2:$D$1001,D48),0))</x:f>
      </x:c>
      <x:c r="I48" s="1"/>
      <x:c r="J48" s="1"/>
      <x:c r="K48" s="1"/>
      <x:c r="L48" s="1"/>
    </x:row>
    <x:row r="49" ht="24" customHeight="1">
      <x:c r="A49" s="34"/>
      <x:c r="B49" s="34"/>
      <x:c r="C49" s="34"/>
      <x:c r="D49" s="34"/>
      <x:c r="E49" s="35"/>
      <x:c r="F49" s="35"/>
      <x:c r="G49" s="35"/>
      <x:c r="H49" s="35" t="str">
        <x:f>IF(B49="","",IF(COUNTIFS($B$2:B49,B49,$C$2:C49,C49,$D$2:D49,D49)=1,E49-SUMIFS($G$2:$G$1001,$B$2:$B$1001,B49,$C$2:$C$1001,C49,$D$2:$D$1001,D49),0))</x:f>
      </x:c>
      <x:c r="I49" s="1"/>
      <x:c r="J49" s="1"/>
      <x:c r="K49" s="1"/>
      <x:c r="L49" s="1"/>
    </x:row>
    <x:row r="50" ht="24" customHeight="1">
      <x:c r="A50" s="34"/>
      <x:c r="B50" s="34"/>
      <x:c r="C50" s="34"/>
      <x:c r="D50" s="34"/>
      <x:c r="E50" s="35"/>
      <x:c r="F50" s="35"/>
      <x:c r="G50" s="35"/>
      <x:c r="H50" s="35" t="str">
        <x:f>IF(B50="","",IF(COUNTIFS($B$2:B50,B50,$C$2:C50,C50,$D$2:D50,D50)=1,E50-SUMIFS($G$2:$G$1001,$B$2:$B$1001,B50,$C$2:$C$1001,C50,$D$2:$D$1001,D50),0))</x:f>
      </x:c>
      <x:c r="I50" s="1"/>
      <x:c r="J50" s="1"/>
      <x:c r="K50" s="1"/>
      <x:c r="L50" s="1"/>
    </x:row>
    <x:row r="51" ht="24" customHeight="1">
      <x:c r="A51" s="34"/>
      <x:c r="B51" s="34"/>
      <x:c r="C51" s="34"/>
      <x:c r="D51" s="34"/>
      <x:c r="E51" s="35"/>
      <x:c r="F51" s="35"/>
      <x:c r="G51" s="35"/>
      <x:c r="H51" s="35" t="str">
        <x:f>IF(B51="","",IF(COUNTIFS($B$2:B51,B51,$C$2:C51,C51,$D$2:D51,D51)=1,E51-SUMIFS($G$2:$G$1001,$B$2:$B$1001,B51,$C$2:$C$1001,C51,$D$2:$D$1001,D51),0))</x:f>
      </x:c>
      <x:c r="I51" s="1"/>
      <x:c r="J51" s="1"/>
      <x:c r="K51" s="1"/>
      <x:c r="L51" s="1"/>
    </x:row>
    <x:row r="52" ht="24" customHeight="1">
      <x:c r="A52" s="34"/>
      <x:c r="B52" s="34"/>
      <x:c r="C52" s="34"/>
      <x:c r="D52" s="34"/>
      <x:c r="E52" s="35"/>
      <x:c r="F52" s="35"/>
      <x:c r="G52" s="35"/>
      <x:c r="H52" s="35" t="str">
        <x:f>IF(B52="","",IF(COUNTIFS($B$2:B52,B52,$C$2:C52,C52,$D$2:D52,D52)=1,E52-SUMIFS($G$2:$G$1001,$B$2:$B$1001,B52,$C$2:$C$1001,C52,$D$2:$D$1001,D52),0))</x:f>
      </x:c>
      <x:c r="I52" s="1"/>
      <x:c r="J52" s="1"/>
      <x:c r="K52" s="1"/>
      <x:c r="L52" s="1"/>
    </x:row>
    <x:row r="53" ht="24" customHeight="1">
      <x:c r="A53" s="34"/>
      <x:c r="B53" s="34"/>
      <x:c r="C53" s="34"/>
      <x:c r="D53" s="34"/>
      <x:c r="E53" s="35"/>
      <x:c r="F53" s="35"/>
      <x:c r="G53" s="35"/>
      <x:c r="H53" s="35" t="str">
        <x:f>IF(B53="","",IF(COUNTIFS($B$2:B53,B53,$C$2:C53,C53,$D$2:D53,D53)=1,E53-SUMIFS($G$2:$G$1001,$B$2:$B$1001,B53,$C$2:$C$1001,C53,$D$2:$D$1001,D53),0))</x:f>
      </x:c>
      <x:c r="I53" s="1"/>
      <x:c r="J53" s="1"/>
      <x:c r="K53" s="1"/>
      <x:c r="L53" s="1"/>
    </x:row>
    <x:row r="54" ht="24" customHeight="1">
      <x:c r="A54" s="34"/>
      <x:c r="B54" s="34"/>
      <x:c r="C54" s="34"/>
      <x:c r="D54" s="34"/>
      <x:c r="E54" s="35"/>
      <x:c r="F54" s="35"/>
      <x:c r="G54" s="35"/>
      <x:c r="H54" s="35" t="str">
        <x:f>IF(B54="","",IF(COUNTIFS($B$2:B54,B54,$C$2:C54,C54,$D$2:D54,D54)=1,E54-SUMIFS($G$2:$G$1001,$B$2:$B$1001,B54,$C$2:$C$1001,C54,$D$2:$D$1001,D54),0))</x:f>
      </x:c>
      <x:c r="I54" s="1"/>
      <x:c r="J54" s="1"/>
      <x:c r="K54" s="1"/>
      <x:c r="L54" s="1"/>
    </x:row>
    <x:row r="55" ht="24" customHeight="1">
      <x:c r="A55" s="34"/>
      <x:c r="B55" s="34"/>
      <x:c r="C55" s="34"/>
      <x:c r="D55" s="34"/>
      <x:c r="E55" s="35"/>
      <x:c r="F55" s="35"/>
      <x:c r="G55" s="35"/>
      <x:c r="H55" s="35" t="str">
        <x:f>IF(B55="","",IF(COUNTIFS($B$2:B55,B55,$C$2:C55,C55,$D$2:D55,D55)=1,E55-SUMIFS($G$2:$G$1001,$B$2:$B$1001,B55,$C$2:$C$1001,C55,$D$2:$D$1001,D55),0))</x:f>
      </x:c>
      <x:c r="I55" s="1"/>
      <x:c r="J55" s="1"/>
      <x:c r="K55" s="1"/>
      <x:c r="L55" s="1"/>
    </x:row>
    <x:row r="56" ht="24" customHeight="1">
      <x:c r="A56" s="34"/>
      <x:c r="B56" s="34"/>
      <x:c r="C56" s="34"/>
      <x:c r="D56" s="34"/>
      <x:c r="E56" s="35"/>
      <x:c r="F56" s="35"/>
      <x:c r="G56" s="35"/>
      <x:c r="H56" s="35" t="str">
        <x:f>IF(B56="","",IF(COUNTIFS($B$2:B56,B56,$C$2:C56,C56,$D$2:D56,D56)=1,E56-SUMIFS($G$2:$G$1001,$B$2:$B$1001,B56,$C$2:$C$1001,C56,$D$2:$D$1001,D56),0))</x:f>
      </x:c>
      <x:c r="I56" s="1"/>
      <x:c r="J56" s="1"/>
      <x:c r="K56" s="1"/>
      <x:c r="L56" s="1"/>
    </x:row>
    <x:row r="57" ht="24" customHeight="1">
      <x:c r="A57" s="34"/>
      <x:c r="B57" s="34"/>
      <x:c r="C57" s="34"/>
      <x:c r="D57" s="34"/>
      <x:c r="E57" s="35"/>
      <x:c r="F57" s="35"/>
      <x:c r="G57" s="35"/>
      <x:c r="H57" s="35" t="str">
        <x:f>IF(B57="","",IF(COUNTIFS($B$2:B57,B57,$C$2:C57,C57,$D$2:D57,D57)=1,E57-SUMIFS($G$2:$G$1001,$B$2:$B$1001,B57,$C$2:$C$1001,C57,$D$2:$D$1001,D57),0))</x:f>
      </x:c>
      <x:c r="I57" s="1"/>
      <x:c r="J57" s="1"/>
      <x:c r="K57" s="1"/>
      <x:c r="L57" s="1"/>
    </x:row>
    <x:row r="58" ht="24" customHeight="1">
      <x:c r="A58" s="34"/>
      <x:c r="B58" s="34"/>
      <x:c r="C58" s="34"/>
      <x:c r="D58" s="34"/>
      <x:c r="E58" s="35"/>
      <x:c r="F58" s="35"/>
      <x:c r="G58" s="35"/>
      <x:c r="H58" s="35" t="str">
        <x:f>IF(B58="","",IF(COUNTIFS($B$2:B58,B58,$C$2:C58,C58,$D$2:D58,D58)=1,E58-SUMIFS($G$2:$G$1001,$B$2:$B$1001,B58,$C$2:$C$1001,C58,$D$2:$D$1001,D58),0))</x:f>
      </x:c>
      <x:c r="I58" s="1"/>
      <x:c r="J58" s="1"/>
      <x:c r="K58" s="1"/>
      <x:c r="L58" s="1"/>
    </x:row>
    <x:row r="59" ht="24" customHeight="1">
      <x:c r="A59" s="34"/>
      <x:c r="B59" s="34"/>
      <x:c r="C59" s="34"/>
      <x:c r="D59" s="34"/>
      <x:c r="E59" s="35"/>
      <x:c r="F59" s="35"/>
      <x:c r="G59" s="35"/>
      <x:c r="H59" s="35" t="str">
        <x:f>IF(B59="","",IF(COUNTIFS($B$2:B59,B59,$C$2:C59,C59,$D$2:D59,D59)=1,E59-SUMIFS($G$2:$G$1001,$B$2:$B$1001,B59,$C$2:$C$1001,C59,$D$2:$D$1001,D59),0))</x:f>
      </x:c>
      <x:c r="I59" s="1"/>
      <x:c r="J59" s="1"/>
      <x:c r="K59" s="1"/>
      <x:c r="L59" s="1"/>
    </x:row>
    <x:row r="60" ht="24" customHeight="1">
      <x:c r="A60" s="34"/>
      <x:c r="B60" s="34"/>
      <x:c r="C60" s="34"/>
      <x:c r="D60" s="34"/>
      <x:c r="E60" s="35"/>
      <x:c r="F60" s="35"/>
      <x:c r="G60" s="35"/>
      <x:c r="H60" s="35" t="str">
        <x:f>IF(B60="","",IF(COUNTIFS($B$2:B60,B60,$C$2:C60,C60,$D$2:D60,D60)=1,E60-SUMIFS($G$2:$G$1001,$B$2:$B$1001,B60,$C$2:$C$1001,C60,$D$2:$D$1001,D60),0))</x:f>
      </x:c>
      <x:c r="I60" s="1"/>
      <x:c r="J60" s="1"/>
      <x:c r="K60" s="1"/>
      <x:c r="L60" s="1"/>
    </x:row>
    <x:row r="61" ht="24" customHeight="1">
      <x:c r="A61" s="34"/>
      <x:c r="B61" s="34"/>
      <x:c r="C61" s="34"/>
      <x:c r="D61" s="34"/>
      <x:c r="E61" s="35"/>
      <x:c r="F61" s="35"/>
      <x:c r="G61" s="35"/>
      <x:c r="H61" s="35" t="str">
        <x:f>IF(B61="","",IF(COUNTIFS($B$2:B61,B61,$C$2:C61,C61,$D$2:D61,D61)=1,E61-SUMIFS($G$2:$G$1001,$B$2:$B$1001,B61,$C$2:$C$1001,C61,$D$2:$D$1001,D61),0))</x:f>
      </x:c>
      <x:c r="I61" s="1"/>
      <x:c r="J61" s="1"/>
      <x:c r="K61" s="1"/>
      <x:c r="L61" s="1"/>
    </x:row>
    <x:row r="62" ht="24" customHeight="1">
      <x:c r="A62" s="34"/>
      <x:c r="B62" s="34"/>
      <x:c r="C62" s="34"/>
      <x:c r="D62" s="34"/>
      <x:c r="E62" s="35"/>
      <x:c r="F62" s="35"/>
      <x:c r="G62" s="35"/>
      <x:c r="H62" s="35" t="str">
        <x:f>IF(B62="","",IF(COUNTIFS($B$2:B62,B62,$C$2:C62,C62,$D$2:D62,D62)=1,E62-SUMIFS($G$2:$G$1001,$B$2:$B$1001,B62,$C$2:$C$1001,C62,$D$2:$D$1001,D62),0))</x:f>
      </x:c>
      <x:c r="I62" s="1"/>
      <x:c r="J62" s="1"/>
      <x:c r="K62" s="1"/>
      <x:c r="L62" s="1"/>
    </x:row>
    <x:row r="63" ht="24" customHeight="1">
      <x:c r="A63" s="34"/>
      <x:c r="B63" s="34"/>
      <x:c r="C63" s="34"/>
      <x:c r="D63" s="34"/>
      <x:c r="E63" s="35"/>
      <x:c r="F63" s="35"/>
      <x:c r="G63" s="35"/>
      <x:c r="H63" s="35" t="str">
        <x:f>IF(B63="","",IF(COUNTIFS($B$2:B63,B63,$C$2:C63,C63,$D$2:D63,D63)=1,E63-SUMIFS($G$2:$G$1001,$B$2:$B$1001,B63,$C$2:$C$1001,C63,$D$2:$D$1001,D63),0))</x:f>
      </x:c>
      <x:c r="I63" s="1"/>
      <x:c r="J63" s="1"/>
      <x:c r="K63" s="1"/>
      <x:c r="L63" s="1"/>
    </x:row>
    <x:row r="64" ht="24" customHeight="1">
      <x:c r="A64" s="34"/>
      <x:c r="B64" s="34"/>
      <x:c r="C64" s="34"/>
      <x:c r="D64" s="34"/>
      <x:c r="E64" s="35"/>
      <x:c r="F64" s="35"/>
      <x:c r="G64" s="35"/>
      <x:c r="H64" s="35" t="str">
        <x:f>IF(B64="","",IF(COUNTIFS($B$2:B64,B64,$C$2:C64,C64,$D$2:D64,D64)=1,E64-SUMIFS($G$2:$G$1001,$B$2:$B$1001,B64,$C$2:$C$1001,C64,$D$2:$D$1001,D64),0))</x:f>
      </x:c>
      <x:c r="I64" s="1"/>
      <x:c r="J64" s="1"/>
      <x:c r="K64" s="1"/>
      <x:c r="L64" s="1"/>
    </x:row>
    <x:row r="65" ht="24" customHeight="1">
      <x:c r="A65" s="34"/>
      <x:c r="B65" s="34"/>
      <x:c r="C65" s="34"/>
      <x:c r="D65" s="34"/>
      <x:c r="E65" s="35"/>
      <x:c r="F65" s="35"/>
      <x:c r="G65" s="35"/>
      <x:c r="H65" s="35" t="str">
        <x:f>IF(B65="","",IF(COUNTIFS($B$2:B65,B65,$C$2:C65,C65,$D$2:D65,D65)=1,E65-SUMIFS($G$2:$G$1001,$B$2:$B$1001,B65,$C$2:$C$1001,C65,$D$2:$D$1001,D65),0))</x:f>
      </x:c>
      <x:c r="I65" s="1"/>
      <x:c r="J65" s="1"/>
      <x:c r="K65" s="1"/>
      <x:c r="L65" s="1"/>
    </x:row>
    <x:row r="66" ht="24" customHeight="1">
      <x:c r="A66" s="34"/>
      <x:c r="B66" s="34"/>
      <x:c r="C66" s="34"/>
      <x:c r="D66" s="34"/>
      <x:c r="E66" s="35"/>
      <x:c r="F66" s="35"/>
      <x:c r="G66" s="35"/>
      <x:c r="H66" s="35" t="str">
        <x:f>IF(B66="","",IF(COUNTIFS($B$2:B66,B66,$C$2:C66,C66,$D$2:D66,D66)=1,E66-SUMIFS($G$2:$G$1001,$B$2:$B$1001,B66,$C$2:$C$1001,C66,$D$2:$D$1001,D66),0))</x:f>
      </x:c>
      <x:c r="I66" s="1"/>
      <x:c r="J66" s="1"/>
      <x:c r="K66" s="1"/>
      <x:c r="L66" s="1"/>
    </x:row>
    <x:row r="67" ht="24" customHeight="1">
      <x:c r="A67" s="34"/>
      <x:c r="B67" s="34"/>
      <x:c r="C67" s="34"/>
      <x:c r="D67" s="34"/>
      <x:c r="E67" s="35"/>
      <x:c r="F67" s="35"/>
      <x:c r="G67" s="35"/>
      <x:c r="H67" s="35" t="str">
        <x:f>IF(B67="","",IF(COUNTIFS($B$2:B67,B67,$C$2:C67,C67,$D$2:D67,D67)=1,E67-SUMIFS($G$2:$G$1001,$B$2:$B$1001,B67,$C$2:$C$1001,C67,$D$2:$D$1001,D67),0))</x:f>
      </x:c>
      <x:c r="I67" s="1"/>
      <x:c r="J67" s="1"/>
      <x:c r="K67" s="1"/>
      <x:c r="L67" s="1"/>
    </x:row>
    <x:row r="68" ht="24" customHeight="1">
      <x:c r="A68" s="34"/>
      <x:c r="B68" s="34"/>
      <x:c r="C68" s="34"/>
      <x:c r="D68" s="34"/>
      <x:c r="E68" s="35"/>
      <x:c r="F68" s="35"/>
      <x:c r="G68" s="35"/>
      <x:c r="H68" s="35" t="str">
        <x:f>IF(B68="","",IF(COUNTIFS($B$2:B68,B68,$C$2:C68,C68,$D$2:D68,D68)=1,E68-SUMIFS($G$2:$G$1001,$B$2:$B$1001,B68,$C$2:$C$1001,C68,$D$2:$D$1001,D68),0))</x:f>
      </x:c>
      <x:c r="I68" s="1"/>
      <x:c r="J68" s="1"/>
      <x:c r="K68" s="1"/>
      <x:c r="L68" s="1"/>
    </x:row>
    <x:row r="69" ht="24" customHeight="1">
      <x:c r="A69" s="34"/>
      <x:c r="B69" s="34"/>
      <x:c r="C69" s="34"/>
      <x:c r="D69" s="34"/>
      <x:c r="E69" s="35"/>
      <x:c r="F69" s="35"/>
      <x:c r="G69" s="35"/>
      <x:c r="H69" s="35" t="str">
        <x:f>IF(B69="","",IF(COUNTIFS($B$2:B69,B69,$C$2:C69,C69,$D$2:D69,D69)=1,E69-SUMIFS($G$2:$G$1001,$B$2:$B$1001,B69,$C$2:$C$1001,C69,$D$2:$D$1001,D69),0))</x:f>
      </x:c>
      <x:c r="I69" s="1"/>
      <x:c r="J69" s="1"/>
      <x:c r="K69" s="1"/>
      <x:c r="L69" s="1"/>
    </x:row>
    <x:row r="70" ht="24" customHeight="1">
      <x:c r="A70" s="34"/>
      <x:c r="B70" s="34"/>
      <x:c r="C70" s="34"/>
      <x:c r="D70" s="34"/>
      <x:c r="E70" s="35"/>
      <x:c r="F70" s="35"/>
      <x:c r="G70" s="35"/>
      <x:c r="H70" s="35" t="str">
        <x:f>IF(B70="","",IF(COUNTIFS($B$2:B70,B70,$C$2:C70,C70,$D$2:D70,D70)=1,E70-SUMIFS($G$2:$G$1001,$B$2:$B$1001,B70,$C$2:$C$1001,C70,$D$2:$D$1001,D70),0))</x:f>
      </x:c>
      <x:c r="I70" s="1"/>
      <x:c r="J70" s="1"/>
      <x:c r="K70" s="1"/>
      <x:c r="L70" s="1"/>
    </x:row>
    <x:row r="71" ht="24" customHeight="1">
      <x:c r="A71" s="34"/>
      <x:c r="B71" s="34"/>
      <x:c r="C71" s="34"/>
      <x:c r="D71" s="34"/>
      <x:c r="E71" s="35"/>
      <x:c r="F71" s="35"/>
      <x:c r="G71" s="35"/>
      <x:c r="H71" s="35" t="str">
        <x:f>IF(B71="","",IF(COUNTIFS($B$2:B71,B71,$C$2:C71,C71,$D$2:D71,D71)=1,E71-SUMIFS($G$2:$G$1001,$B$2:$B$1001,B71,$C$2:$C$1001,C71,$D$2:$D$1001,D71),0))</x:f>
      </x:c>
      <x:c r="I71" s="1"/>
      <x:c r="J71" s="1"/>
      <x:c r="K71" s="1"/>
      <x:c r="L71" s="1"/>
    </x:row>
    <x:row r="72" ht="24" customHeight="1">
      <x:c r="A72" s="34"/>
      <x:c r="B72" s="34"/>
      <x:c r="C72" s="34"/>
      <x:c r="D72" s="34"/>
      <x:c r="E72" s="35"/>
      <x:c r="F72" s="35"/>
      <x:c r="G72" s="35"/>
      <x:c r="H72" s="35" t="str">
        <x:f>IF(B72="","",IF(COUNTIFS($B$2:B72,B72,$C$2:C72,C72,$D$2:D72,D72)=1,E72-SUMIFS($G$2:$G$1001,$B$2:$B$1001,B72,$C$2:$C$1001,C72,$D$2:$D$1001,D72),0))</x:f>
      </x:c>
      <x:c r="I72" s="1"/>
      <x:c r="J72" s="1"/>
      <x:c r="K72" s="1"/>
      <x:c r="L72" s="1"/>
    </x:row>
    <x:row r="73" ht="24" customHeight="1">
      <x:c r="A73" s="34"/>
      <x:c r="B73" s="34"/>
      <x:c r="C73" s="34"/>
      <x:c r="D73" s="34"/>
      <x:c r="E73" s="35"/>
      <x:c r="F73" s="35"/>
      <x:c r="G73" s="35"/>
      <x:c r="H73" s="35" t="str">
        <x:f>IF(B73="","",IF(COUNTIFS($B$2:B73,B73,$C$2:C73,C73,$D$2:D73,D73)=1,E73-SUMIFS($G$2:$G$1001,$B$2:$B$1001,B73,$C$2:$C$1001,C73,$D$2:$D$1001,D73),0))</x:f>
      </x:c>
      <x:c r="I73" s="1"/>
      <x:c r="J73" s="1"/>
      <x:c r="K73" s="1"/>
      <x:c r="L73" s="1"/>
    </x:row>
    <x:row r="74" ht="24" customHeight="1">
      <x:c r="A74" s="34"/>
      <x:c r="B74" s="34"/>
      <x:c r="C74" s="34"/>
      <x:c r="D74" s="34"/>
      <x:c r="E74" s="35"/>
      <x:c r="F74" s="35"/>
      <x:c r="G74" s="35"/>
      <x:c r="H74" s="35" t="str">
        <x:f>IF(B74="","",IF(COUNTIFS($B$2:B74,B74,$C$2:C74,C74,$D$2:D74,D74)=1,E74-SUMIFS($G$2:$G$1001,$B$2:$B$1001,B74,$C$2:$C$1001,C74,$D$2:$D$1001,D74),0))</x:f>
      </x:c>
      <x:c r="I74" s="1"/>
      <x:c r="J74" s="1"/>
      <x:c r="K74" s="1"/>
      <x:c r="L74" s="1"/>
    </x:row>
    <x:row r="75" ht="24" customHeight="1">
      <x:c r="A75" s="34"/>
      <x:c r="B75" s="34"/>
      <x:c r="C75" s="34"/>
      <x:c r="D75" s="34"/>
      <x:c r="E75" s="35"/>
      <x:c r="F75" s="35"/>
      <x:c r="G75" s="35"/>
      <x:c r="H75" s="35" t="str">
        <x:f>IF(B75="","",IF(COUNTIFS($B$2:B75,B75,$C$2:C75,C75,$D$2:D75,D75)=1,E75-SUMIFS($G$2:$G$1001,$B$2:$B$1001,B75,$C$2:$C$1001,C75,$D$2:$D$1001,D75),0))</x:f>
      </x:c>
      <x:c r="I75" s="1"/>
      <x:c r="J75" s="1"/>
      <x:c r="K75" s="1"/>
      <x:c r="L75" s="1"/>
    </x:row>
    <x:row r="76" ht="24" customHeight="1">
      <x:c r="A76" s="34"/>
      <x:c r="B76" s="34"/>
      <x:c r="C76" s="34"/>
      <x:c r="D76" s="34"/>
      <x:c r="E76" s="35"/>
      <x:c r="F76" s="35"/>
      <x:c r="G76" s="35"/>
      <x:c r="H76" s="35" t="str">
        <x:f>IF(B76="","",IF(COUNTIFS($B$2:B76,B76,$C$2:C76,C76,$D$2:D76,D76)=1,E76-SUMIFS($G$2:$G$1001,$B$2:$B$1001,B76,$C$2:$C$1001,C76,$D$2:$D$1001,D76),0))</x:f>
      </x:c>
      <x:c r="I76" s="1"/>
      <x:c r="J76" s="1"/>
      <x:c r="K76" s="1"/>
      <x:c r="L76" s="1"/>
    </x:row>
    <x:row r="77" ht="24" customHeight="1">
      <x:c r="A77" s="34"/>
      <x:c r="B77" s="34"/>
      <x:c r="C77" s="34"/>
      <x:c r="D77" s="34"/>
      <x:c r="E77" s="35"/>
      <x:c r="F77" s="35"/>
      <x:c r="G77" s="35"/>
      <x:c r="H77" s="35" t="str">
        <x:f>IF(B77="","",IF(COUNTIFS($B$2:B77,B77,$C$2:C77,C77,$D$2:D77,D77)=1,E77-SUMIFS($G$2:$G$1001,$B$2:$B$1001,B77,$C$2:$C$1001,C77,$D$2:$D$1001,D77),0))</x:f>
      </x:c>
      <x:c r="I77" s="1"/>
      <x:c r="J77" s="1"/>
      <x:c r="K77" s="1"/>
      <x:c r="L77" s="1"/>
    </x:row>
    <x:row r="78" ht="24" customHeight="1">
      <x:c r="A78" s="34"/>
      <x:c r="B78" s="34"/>
      <x:c r="C78" s="34"/>
      <x:c r="D78" s="34"/>
      <x:c r="E78" s="35"/>
      <x:c r="F78" s="35"/>
      <x:c r="G78" s="35"/>
      <x:c r="H78" s="35" t="str">
        <x:f>IF(B78="","",IF(COUNTIFS($B$2:B78,B78,$C$2:C78,C78,$D$2:D78,D78)=1,E78-SUMIFS($G$2:$G$1001,$B$2:$B$1001,B78,$C$2:$C$1001,C78,$D$2:$D$1001,D78),0))</x:f>
      </x:c>
      <x:c r="I78" s="1"/>
      <x:c r="J78" s="1"/>
      <x:c r="K78" s="1"/>
      <x:c r="L78" s="1"/>
    </x:row>
    <x:row r="79" ht="24" customHeight="1">
      <x:c r="A79" s="34"/>
      <x:c r="B79" s="34"/>
      <x:c r="C79" s="34"/>
      <x:c r="D79" s="34"/>
      <x:c r="E79" s="35"/>
      <x:c r="F79" s="35"/>
      <x:c r="G79" s="35"/>
      <x:c r="H79" s="35" t="str">
        <x:f>IF(B79="","",IF(COUNTIFS($B$2:B79,B79,$C$2:C79,C79,$D$2:D79,D79)=1,E79-SUMIFS($G$2:$G$1001,$B$2:$B$1001,B79,$C$2:$C$1001,C79,$D$2:$D$1001,D79),0))</x:f>
      </x:c>
      <x:c r="I79" s="1"/>
      <x:c r="J79" s="1"/>
      <x:c r="K79" s="1"/>
      <x:c r="L79" s="1"/>
    </x:row>
    <x:row r="80" ht="24" customHeight="1">
      <x:c r="A80" s="34"/>
      <x:c r="B80" s="34"/>
      <x:c r="C80" s="34"/>
      <x:c r="D80" s="34"/>
      <x:c r="E80" s="35"/>
      <x:c r="F80" s="35"/>
      <x:c r="G80" s="35"/>
      <x:c r="H80" s="35" t="str">
        <x:f>IF(B80="","",IF(COUNTIFS($B$2:B80,B80,$C$2:C80,C80,$D$2:D80,D80)=1,E80-SUMIFS($G$2:$G$1001,$B$2:$B$1001,B80,$C$2:$C$1001,C80,$D$2:$D$1001,D80),0))</x:f>
      </x:c>
      <x:c r="I80" s="1"/>
      <x:c r="J80" s="1"/>
      <x:c r="K80" s="1"/>
      <x:c r="L80" s="1"/>
    </x:row>
    <x:row r="81" ht="24" customHeight="1">
      <x:c r="A81" s="34"/>
      <x:c r="B81" s="34"/>
      <x:c r="C81" s="34"/>
      <x:c r="D81" s="34"/>
      <x:c r="E81" s="35"/>
      <x:c r="F81" s="35"/>
      <x:c r="G81" s="35"/>
      <x:c r="H81" s="35" t="str">
        <x:f>IF(B81="","",IF(COUNTIFS($B$2:B81,B81,$C$2:C81,C81,$D$2:D81,D81)=1,E81-SUMIFS($G$2:$G$1001,$B$2:$B$1001,B81,$C$2:$C$1001,C81,$D$2:$D$1001,D81),0))</x:f>
      </x:c>
    </x:row>
    <x:row r="82" ht="24" customHeight="1">
      <x:c r="A82" s="34"/>
      <x:c r="B82" s="34"/>
      <x:c r="C82" s="34"/>
      <x:c r="D82" s="34"/>
      <x:c r="E82" s="35"/>
      <x:c r="F82" s="35"/>
      <x:c r="G82" s="35"/>
      <x:c r="H82" s="35" t="str">
        <x:f>IF(B82="","",IF(COUNTIFS($B$2:B82,B82,$C$2:C82,C82,$D$2:D82,D82)=1,E82-SUMIFS($G$2:$G$1001,$B$2:$B$1001,B82,$C$2:$C$1001,C82,$D$2:$D$1001,D82),0))</x:f>
      </x:c>
    </x:row>
    <x:row r="83" ht="24" customHeight="1">
      <x:c r="A83" s="34"/>
      <x:c r="B83" s="34"/>
      <x:c r="C83" s="34"/>
      <x:c r="D83" s="34"/>
      <x:c r="E83" s="35"/>
      <x:c r="F83" s="35"/>
      <x:c r="G83" s="35"/>
      <x:c r="H83" s="35" t="str">
        <x:f>IF(B83="","",IF(COUNTIFS($B$2:B83,B83,$C$2:C83,C83,$D$2:D83,D83)=1,E83-SUMIFS($G$2:$G$1001,$B$2:$B$1001,B83,$C$2:$C$1001,C83,$D$2:$D$1001,D83),0))</x:f>
      </x:c>
    </x:row>
    <x:row r="84" ht="24" customHeight="1">
      <x:c r="A84" s="34"/>
      <x:c r="B84" s="34"/>
      <x:c r="C84" s="34"/>
      <x:c r="D84" s="34"/>
      <x:c r="E84" s="35"/>
      <x:c r="F84" s="35"/>
      <x:c r="G84" s="35"/>
      <x:c r="H84" s="35" t="str">
        <x:f>IF(B84="","",IF(COUNTIFS($B$2:B84,B84,$C$2:C84,C84,$D$2:D84,D84)=1,E84-SUMIFS($G$2:$G$1001,$B$2:$B$1001,B84,$C$2:$C$1001,C84,$D$2:$D$1001,D84),0))</x:f>
      </x:c>
    </x:row>
    <x:row r="85" ht="24" customHeight="1">
      <x:c r="A85" s="34"/>
      <x:c r="B85" s="34"/>
      <x:c r="C85" s="34"/>
      <x:c r="D85" s="34"/>
      <x:c r="E85" s="35"/>
      <x:c r="F85" s="35"/>
      <x:c r="G85" s="35"/>
      <x:c r="H85" s="35" t="str">
        <x:f>IF(B85="","",IF(COUNTIFS($B$2:B85,B85,$C$2:C85,C85,$D$2:D85,D85)=1,E85-SUMIFS($G$2:$G$1001,$B$2:$B$1001,B85,$C$2:$C$1001,C85,$D$2:$D$1001,D85),0))</x:f>
      </x:c>
    </x:row>
    <x:row r="86" ht="24" customHeight="1">
      <x:c r="A86" s="34"/>
      <x:c r="B86" s="34"/>
      <x:c r="C86" s="34"/>
      <x:c r="D86" s="34"/>
      <x:c r="E86" s="35"/>
      <x:c r="F86" s="35"/>
      <x:c r="G86" s="35"/>
      <x:c r="H86" s="35" t="str">
        <x:f>IF(B86="","",IF(COUNTIFS($B$2:B86,B86,$C$2:C86,C86,$D$2:D86,D86)=1,E86-SUMIFS($G$2:$G$1001,$B$2:$B$1001,B86,$C$2:$C$1001,C86,$D$2:$D$1001,D86),0))</x:f>
      </x:c>
    </x:row>
    <x:row r="87" ht="24" customHeight="1">
      <x:c r="A87" s="34"/>
      <x:c r="B87" s="34"/>
      <x:c r="C87" s="34"/>
      <x:c r="D87" s="34"/>
      <x:c r="E87" s="35"/>
      <x:c r="F87" s="35"/>
      <x:c r="G87" s="35"/>
      <x:c r="H87" s="35" t="str">
        <x:f>IF(B87="","",IF(COUNTIFS($B$2:B87,B87,$C$2:C87,C87,$D$2:D87,D87)=1,E87-SUMIFS($G$2:$G$1001,$B$2:$B$1001,B87,$C$2:$C$1001,C87,$D$2:$D$1001,D87),0))</x:f>
      </x:c>
    </x:row>
    <x:row r="88" ht="24" customHeight="1">
      <x:c r="A88" s="34"/>
      <x:c r="B88" s="34"/>
      <x:c r="C88" s="34"/>
      <x:c r="D88" s="34"/>
      <x:c r="E88" s="35"/>
      <x:c r="F88" s="35"/>
      <x:c r="G88" s="35"/>
      <x:c r="H88" s="35" t="str">
        <x:f>IF(B88="","",IF(COUNTIFS($B$2:B88,B88,$C$2:C88,C88,$D$2:D88,D88)=1,E88-SUMIFS($G$2:$G$1001,$B$2:$B$1001,B88,$C$2:$C$1001,C88,$D$2:$D$1001,D88),0))</x:f>
      </x:c>
    </x:row>
    <x:row r="89" ht="24" customHeight="1">
      <x:c r="A89" s="34"/>
      <x:c r="B89" s="34"/>
      <x:c r="C89" s="34"/>
      <x:c r="D89" s="34"/>
      <x:c r="E89" s="35"/>
      <x:c r="F89" s="35"/>
      <x:c r="G89" s="35"/>
      <x:c r="H89" s="35" t="str">
        <x:f>IF(B89="","",IF(COUNTIFS($B$2:B89,B89,$C$2:C89,C89,$D$2:D89,D89)=1,E89-SUMIFS($G$2:$G$1001,$B$2:$B$1001,B89,$C$2:$C$1001,C89,$D$2:$D$1001,D89),0))</x:f>
      </x:c>
    </x:row>
    <x:row r="90" ht="24" customHeight="1">
      <x:c r="A90" s="34"/>
      <x:c r="B90" s="34"/>
      <x:c r="C90" s="34"/>
      <x:c r="D90" s="34"/>
      <x:c r="E90" s="35"/>
      <x:c r="F90" s="35"/>
      <x:c r="G90" s="35"/>
      <x:c r="H90" s="35" t="str">
        <x:f>IF(B90="","",IF(COUNTIFS($B$2:B90,B90,$C$2:C90,C90,$D$2:D90,D90)=1,E90-SUMIFS($G$2:$G$1001,$B$2:$B$1001,B90,$C$2:$C$1001,C90,$D$2:$D$1001,D90),0))</x:f>
      </x:c>
    </x:row>
    <x:row r="91" ht="24" customHeight="1">
      <x:c r="A91" s="34"/>
      <x:c r="B91" s="34"/>
      <x:c r="C91" s="34"/>
      <x:c r="D91" s="34"/>
      <x:c r="E91" s="35"/>
      <x:c r="F91" s="35"/>
      <x:c r="G91" s="35"/>
      <x:c r="H91" s="35" t="str">
        <x:f>IF(B91="","",IF(COUNTIFS($B$2:B91,B91,$C$2:C91,C91,$D$2:D91,D91)=1,E91-SUMIFS($G$2:$G$1001,$B$2:$B$1001,B91,$C$2:$C$1001,C91,$D$2:$D$1001,D91),0))</x:f>
      </x:c>
    </x:row>
    <x:row r="92" ht="24" customHeight="1">
      <x:c r="A92" s="34"/>
      <x:c r="B92" s="34"/>
      <x:c r="C92" s="34"/>
      <x:c r="D92" s="34"/>
      <x:c r="E92" s="35"/>
      <x:c r="F92" s="35"/>
      <x:c r="G92" s="35"/>
      <x:c r="H92" s="35" t="str">
        <x:f>IF(B92="","",IF(COUNTIFS($B$2:B92,B92,$C$2:C92,C92,$D$2:D92,D92)=1,E92-SUMIFS($G$2:$G$1001,$B$2:$B$1001,B92,$C$2:$C$1001,C92,$D$2:$D$1001,D92),0))</x:f>
      </x:c>
    </x:row>
    <x:row r="93" ht="24" customHeight="1">
      <x:c r="A93" s="34"/>
      <x:c r="B93" s="34"/>
      <x:c r="C93" s="34"/>
      <x:c r="D93" s="34"/>
      <x:c r="E93" s="35"/>
      <x:c r="F93" s="35"/>
      <x:c r="G93" s="35"/>
      <x:c r="H93" s="35" t="str">
        <x:f>IF(B93="","",IF(COUNTIFS($B$2:B93,B93,$C$2:C93,C93,$D$2:D93,D93)=1,E93-SUMIFS($G$2:$G$1001,$B$2:$B$1001,B93,$C$2:$C$1001,C93,$D$2:$D$1001,D93),0))</x:f>
      </x:c>
    </x:row>
    <x:row r="94" ht="24" customHeight="1">
      <x:c r="A94" s="34"/>
      <x:c r="B94" s="34"/>
      <x:c r="C94" s="34"/>
      <x:c r="D94" s="34"/>
      <x:c r="E94" s="35"/>
      <x:c r="F94" s="35"/>
      <x:c r="G94" s="35"/>
      <x:c r="H94" s="35" t="str">
        <x:f>IF(B94="","",IF(COUNTIFS($B$2:B94,B94,$C$2:C94,C94,$D$2:D94,D94)=1,E94-SUMIFS($G$2:$G$1001,$B$2:$B$1001,B94,$C$2:$C$1001,C94,$D$2:$D$1001,D94),0))</x:f>
      </x:c>
    </x:row>
    <x:row r="95" ht="24" customHeight="1">
      <x:c r="A95" s="34"/>
      <x:c r="B95" s="34"/>
      <x:c r="C95" s="34"/>
      <x:c r="D95" s="34"/>
      <x:c r="E95" s="35"/>
      <x:c r="F95" s="35"/>
      <x:c r="G95" s="35"/>
      <x:c r="H95" s="35" t="str">
        <x:f>IF(B95="","",IF(COUNTIFS($B$2:B95,B95,$C$2:C95,C95,$D$2:D95,D95)=1,E95-SUMIFS($G$2:$G$1001,$B$2:$B$1001,B95,$C$2:$C$1001,C95,$D$2:$D$1001,D95),0))</x:f>
      </x:c>
    </x:row>
    <x:row r="96" ht="24" customHeight="1">
      <x:c r="A96" s="34"/>
      <x:c r="B96" s="34"/>
      <x:c r="C96" s="34"/>
      <x:c r="D96" s="34"/>
      <x:c r="E96" s="35"/>
      <x:c r="F96" s="35"/>
      <x:c r="G96" s="35"/>
      <x:c r="H96" s="35" t="str">
        <x:f>IF(B96="","",IF(COUNTIFS($B$2:B96,B96,$C$2:C96,C96,$D$2:D96,D96)=1,E96-SUMIFS($G$2:$G$1001,$B$2:$B$1001,B96,$C$2:$C$1001,C96,$D$2:$D$1001,D96),0))</x:f>
      </x:c>
    </x:row>
    <x:row r="97" ht="24" customHeight="1">
      <x:c r="A97" s="34"/>
      <x:c r="B97" s="34"/>
      <x:c r="C97" s="34"/>
      <x:c r="D97" s="34"/>
      <x:c r="E97" s="35"/>
      <x:c r="F97" s="35"/>
      <x:c r="G97" s="35"/>
      <x:c r="H97" s="35" t="str">
        <x:f>IF(B97="","",IF(COUNTIFS($B$2:B97,B97,$C$2:C97,C97,$D$2:D97,D97)=1,E97-SUMIFS($G$2:$G$1001,$B$2:$B$1001,B97,$C$2:$C$1001,C97,$D$2:$D$1001,D97),0))</x:f>
      </x:c>
    </x:row>
    <x:row r="98" ht="24" customHeight="1">
      <x:c r="A98" s="34"/>
      <x:c r="B98" s="34"/>
      <x:c r="C98" s="34"/>
      <x:c r="D98" s="34"/>
      <x:c r="E98" s="35"/>
      <x:c r="F98" s="35"/>
      <x:c r="G98" s="35"/>
      <x:c r="H98" s="35" t="str">
        <x:f>IF(B98="","",IF(COUNTIFS($B$2:B98,B98,$C$2:C98,C98,$D$2:D98,D98)=1,E98-SUMIFS($G$2:$G$1001,$B$2:$B$1001,B98,$C$2:$C$1001,C98,$D$2:$D$1001,D98),0))</x:f>
      </x:c>
    </x:row>
    <x:row r="99" ht="24" customHeight="1">
      <x:c r="A99" s="34"/>
      <x:c r="B99" s="34"/>
      <x:c r="C99" s="34"/>
      <x:c r="D99" s="34"/>
      <x:c r="E99" s="35"/>
      <x:c r="F99" s="35"/>
      <x:c r="G99" s="35"/>
      <x:c r="H99" s="35" t="str">
        <x:f>IF(B99="","",IF(COUNTIFS($B$2:B99,B99,$C$2:C99,C99,$D$2:D99,D99)=1,E99-SUMIFS($G$2:$G$1001,$B$2:$B$1001,B99,$C$2:$C$1001,C99,$D$2:$D$1001,D99),0))</x:f>
      </x:c>
    </x:row>
    <x:row r="100" ht="24" customHeight="1">
      <x:c r="A100" s="34"/>
      <x:c r="B100" s="34"/>
      <x:c r="C100" s="34"/>
      <x:c r="D100" s="34"/>
      <x:c r="E100" s="35"/>
      <x:c r="F100" s="35"/>
      <x:c r="G100" s="35"/>
      <x:c r="H100" s="35" t="str">
        <x:f>IF(B100="","",IF(COUNTIFS($B$2:B100,B100,$C$2:C100,C100,$D$2:D100,D100)=1,E100-SUMIFS($G$2:$G$1001,$B$2:$B$1001,B100,$C$2:$C$1001,C100,$D$2:$D$1001,D100),0))</x:f>
      </x:c>
    </x:row>
    <x:row r="101" ht="24" customHeight="1">
      <x:c r="A101" s="34"/>
      <x:c r="B101" s="34"/>
      <x:c r="C101" s="34"/>
      <x:c r="D101" s="34"/>
      <x:c r="E101" s="35"/>
      <x:c r="F101" s="35"/>
      <x:c r="G101" s="35"/>
      <x:c r="H101" s="35" t="str">
        <x:f>IF(B101="","",IF(COUNTIFS($B$2:B101,B101,$C$2:C101,C101,$D$2:D101,D101)=1,E101-SUMIFS($G$2:$G$1001,$B$2:$B$1001,B101,$C$2:$C$1001,C101,$D$2:$D$1001,D101),0))</x:f>
      </x:c>
    </x:row>
    <x:row r="102" ht="24" customHeight="1">
      <x:c r="A102" s="34"/>
      <x:c r="B102" s="34"/>
      <x:c r="C102" s="34"/>
      <x:c r="D102" s="34"/>
      <x:c r="E102" s="35"/>
      <x:c r="F102" s="35"/>
      <x:c r="G102" s="35"/>
      <x:c r="H102" s="35" t="str">
        <x:f>IF(B102="","",IF(COUNTIFS($B$2:B102,B102,$C$2:C102,C102,$D$2:D102,D102)=1,E102-SUMIFS($G$2:$G$1001,$B$2:$B$1001,B102,$C$2:$C$1001,C102,$D$2:$D$1001,D102),0))</x:f>
      </x:c>
    </x:row>
    <x:row r="103" ht="24" customHeight="1">
      <x:c r="A103" s="34"/>
      <x:c r="B103" s="34"/>
      <x:c r="C103" s="34"/>
      <x:c r="D103" s="34"/>
      <x:c r="E103" s="35"/>
      <x:c r="F103" s="35"/>
      <x:c r="G103" s="35"/>
      <x:c r="H103" s="35" t="str">
        <x:f>IF(B103="","",IF(COUNTIFS($B$2:B103,B103,$C$2:C103,C103,$D$2:D103,D103)=1,E103-SUMIFS($G$2:$G$1001,$B$2:$B$1001,B103,$C$2:$C$1001,C103,$D$2:$D$1001,D103),0))</x:f>
      </x:c>
    </x:row>
    <x:row r="104" ht="24" customHeight="1">
      <x:c r="A104" s="34"/>
      <x:c r="B104" s="34"/>
      <x:c r="C104" s="34"/>
      <x:c r="D104" s="34"/>
      <x:c r="E104" s="35"/>
      <x:c r="F104" s="35"/>
      <x:c r="G104" s="35"/>
      <x:c r="H104" s="35" t="str">
        <x:f>IF(B104="","",IF(COUNTIFS($B$2:B104,B104,$C$2:C104,C104,$D$2:D104,D104)=1,E104-SUMIFS($G$2:$G$1001,$B$2:$B$1001,B104,$C$2:$C$1001,C104,$D$2:$D$1001,D104),0))</x:f>
      </x:c>
    </x:row>
    <x:row r="105" ht="24" customHeight="1">
      <x:c r="A105" s="34"/>
      <x:c r="B105" s="34"/>
      <x:c r="C105" s="34"/>
      <x:c r="D105" s="34"/>
      <x:c r="E105" s="35"/>
      <x:c r="F105" s="35"/>
      <x:c r="G105" s="35"/>
      <x:c r="H105" s="35" t="str">
        <x:f>IF(B105="","",IF(COUNTIFS($B$2:B105,B105,$C$2:C105,C105,$D$2:D105,D105)=1,E105-SUMIFS($G$2:$G$1001,$B$2:$B$1001,B105,$C$2:$C$1001,C105,$D$2:$D$1001,D105),0))</x:f>
      </x:c>
    </x:row>
    <x:row r="106" ht="24" customHeight="1">
      <x:c r="A106" s="34"/>
      <x:c r="B106" s="34"/>
      <x:c r="C106" s="34"/>
      <x:c r="D106" s="34"/>
      <x:c r="E106" s="35"/>
      <x:c r="F106" s="35"/>
      <x:c r="G106" s="35"/>
      <x:c r="H106" s="35" t="str">
        <x:f>IF(B106="","",IF(COUNTIFS($B$2:B106,B106,$C$2:C106,C106,$D$2:D106,D106)=1,E106-SUMIFS($G$2:$G$1001,$B$2:$B$1001,B106,$C$2:$C$1001,C106,$D$2:$D$1001,D106),0))</x:f>
      </x:c>
    </x:row>
    <x:row r="107" ht="24" customHeight="1">
      <x:c r="A107" s="34"/>
      <x:c r="B107" s="34"/>
      <x:c r="C107" s="34"/>
      <x:c r="D107" s="34"/>
      <x:c r="E107" s="35"/>
      <x:c r="F107" s="35"/>
      <x:c r="G107" s="35"/>
      <x:c r="H107" s="35" t="str">
        <x:f>IF(B107="","",IF(COUNTIFS($B$2:B107,B107,$C$2:C107,C107,$D$2:D107,D107)=1,E107-SUMIFS($G$2:$G$1001,$B$2:$B$1001,B107,$C$2:$C$1001,C107,$D$2:$D$1001,D107),0))</x:f>
      </x:c>
    </x:row>
    <x:row r="108" ht="24" customHeight="1">
      <x:c r="A108" s="34"/>
      <x:c r="B108" s="34"/>
      <x:c r="C108" s="34"/>
      <x:c r="D108" s="34"/>
      <x:c r="E108" s="35"/>
      <x:c r="F108" s="35"/>
      <x:c r="G108" s="35"/>
      <x:c r="H108" s="35" t="str">
        <x:f>IF(B108="","",IF(COUNTIFS($B$2:B108,B108,$C$2:C108,C108,$D$2:D108,D108)=1,E108-SUMIFS($G$2:$G$1001,$B$2:$B$1001,B108,$C$2:$C$1001,C108,$D$2:$D$1001,D108),0))</x:f>
      </x:c>
    </x:row>
    <x:row r="109" ht="24" customHeight="1">
      <x:c r="A109" s="34"/>
      <x:c r="B109" s="34"/>
      <x:c r="C109" s="34"/>
      <x:c r="D109" s="34"/>
      <x:c r="E109" s="35"/>
      <x:c r="F109" s="35"/>
      <x:c r="G109" s="35"/>
      <x:c r="H109" s="35" t="str">
        <x:f>IF(B109="","",IF(COUNTIFS($B$2:B109,B109,$C$2:C109,C109,$D$2:D109,D109)=1,E109-SUMIFS($G$2:$G$1001,$B$2:$B$1001,B109,$C$2:$C$1001,C109,$D$2:$D$1001,D109),0))</x:f>
      </x:c>
    </x:row>
    <x:row r="110" ht="24" customHeight="1">
      <x:c r="A110" s="34"/>
      <x:c r="B110" s="34"/>
      <x:c r="C110" s="34"/>
      <x:c r="D110" s="34"/>
      <x:c r="E110" s="35"/>
      <x:c r="F110" s="35"/>
      <x:c r="G110" s="35"/>
      <x:c r="H110" s="35" t="str">
        <x:f>IF(B110="","",IF(COUNTIFS($B$2:B110,B110,$C$2:C110,C110,$D$2:D110,D110)=1,E110-SUMIFS($G$2:$G$1001,$B$2:$B$1001,B110,$C$2:$C$1001,C110,$D$2:$D$1001,D110),0))</x:f>
      </x:c>
    </x:row>
    <x:row r="111" ht="24" customHeight="1">
      <x:c r="A111" s="34"/>
      <x:c r="B111" s="34"/>
      <x:c r="C111" s="34"/>
      <x:c r="D111" s="34"/>
      <x:c r="E111" s="35"/>
      <x:c r="F111" s="35"/>
      <x:c r="G111" s="35"/>
      <x:c r="H111" s="35" t="str">
        <x:f>IF(B111="","",IF(COUNTIFS($B$2:B111,B111,$C$2:C111,C111,$D$2:D111,D111)=1,E111-SUMIFS($G$2:$G$1001,$B$2:$B$1001,B111,$C$2:$C$1001,C111,$D$2:$D$1001,D111),0))</x:f>
      </x:c>
    </x:row>
    <x:row r="112" ht="24" customHeight="1">
      <x:c r="A112" s="34"/>
      <x:c r="B112" s="34"/>
      <x:c r="C112" s="34"/>
      <x:c r="D112" s="34"/>
      <x:c r="E112" s="35"/>
      <x:c r="F112" s="35"/>
      <x:c r="G112" s="35"/>
      <x:c r="H112" s="35" t="str">
        <x:f>IF(B112="","",IF(COUNTIFS($B$2:B112,B112,$C$2:C112,C112,$D$2:D112,D112)=1,E112-SUMIFS($G$2:$G$1001,$B$2:$B$1001,B112,$C$2:$C$1001,C112,$D$2:$D$1001,D112),0))</x:f>
      </x:c>
    </x:row>
    <x:row r="113" ht="24" customHeight="1">
      <x:c r="A113" s="34"/>
      <x:c r="B113" s="34"/>
      <x:c r="C113" s="34"/>
      <x:c r="D113" s="34"/>
      <x:c r="E113" s="35"/>
      <x:c r="F113" s="35"/>
      <x:c r="G113" s="35"/>
      <x:c r="H113" s="35" t="str">
        <x:f>IF(B113="","",IF(COUNTIFS($B$2:B113,B113,$C$2:C113,C113,$D$2:D113,D113)=1,E113-SUMIFS($G$2:$G$1001,$B$2:$B$1001,B113,$C$2:$C$1001,C113,$D$2:$D$1001,D113),0))</x:f>
      </x:c>
    </x:row>
    <x:row r="114" ht="24" customHeight="1">
      <x:c r="A114" s="34"/>
      <x:c r="B114" s="34"/>
      <x:c r="C114" s="34"/>
      <x:c r="D114" s="34"/>
      <x:c r="E114" s="35"/>
      <x:c r="F114" s="35"/>
      <x:c r="G114" s="35"/>
      <x:c r="H114" s="35" t="str">
        <x:f>IF(B114="","",IF(COUNTIFS($B$2:B114,B114,$C$2:C114,C114,$D$2:D114,D114)=1,E114-SUMIFS($G$2:$G$1001,$B$2:$B$1001,B114,$C$2:$C$1001,C114,$D$2:$D$1001,D114),0))</x:f>
      </x:c>
    </x:row>
    <x:row r="115" ht="24" customHeight="1">
      <x:c r="A115" s="34"/>
      <x:c r="B115" s="34"/>
      <x:c r="C115" s="34"/>
      <x:c r="D115" s="34"/>
      <x:c r="E115" s="35"/>
      <x:c r="F115" s="35"/>
      <x:c r="G115" s="35"/>
      <x:c r="H115" s="35" t="str">
        <x:f>IF(B115="","",IF(COUNTIFS($B$2:B115,B115,$C$2:C115,C115,$D$2:D115,D115)=1,E115-SUMIFS($G$2:$G$1001,$B$2:$B$1001,B115,$C$2:$C$1001,C115,$D$2:$D$1001,D115),0))</x:f>
      </x:c>
    </x:row>
    <x:row r="116" ht="24" customHeight="1">
      <x:c r="A116" s="34"/>
      <x:c r="B116" s="34"/>
      <x:c r="C116" s="34"/>
      <x:c r="D116" s="34"/>
      <x:c r="E116" s="35"/>
      <x:c r="F116" s="35"/>
      <x:c r="G116" s="35"/>
      <x:c r="H116" s="35" t="str">
        <x:f>IF(B116="","",IF(COUNTIFS($B$2:B116,B116,$C$2:C116,C116,$D$2:D116,D116)=1,E116-SUMIFS($G$2:$G$1001,$B$2:$B$1001,B116,$C$2:$C$1001,C116,$D$2:$D$1001,D116),0))</x:f>
      </x:c>
    </x:row>
    <x:row r="117" ht="24" customHeight="1">
      <x:c r="A117" s="34"/>
      <x:c r="B117" s="34"/>
      <x:c r="C117" s="34"/>
      <x:c r="D117" s="34"/>
      <x:c r="E117" s="35"/>
      <x:c r="F117" s="35"/>
      <x:c r="G117" s="35"/>
      <x:c r="H117" s="35" t="str">
        <x:f>IF(B117="","",IF(COUNTIFS($B$2:B117,B117,$C$2:C117,C117,$D$2:D117,D117)=1,E117-SUMIFS($G$2:$G$1001,$B$2:$B$1001,B117,$C$2:$C$1001,C117,$D$2:$D$1001,D117),0))</x:f>
      </x:c>
    </x:row>
    <x:row r="118" ht="24" customHeight="1">
      <x:c r="A118" s="34"/>
      <x:c r="B118" s="34"/>
      <x:c r="C118" s="34"/>
      <x:c r="D118" s="34"/>
      <x:c r="E118" s="35"/>
      <x:c r="F118" s="35"/>
      <x:c r="G118" s="35"/>
      <x:c r="H118" s="35" t="str">
        <x:f>IF(B118="","",IF(COUNTIFS($B$2:B118,B118,$C$2:C118,C118,$D$2:D118,D118)=1,E118-SUMIFS($G$2:$G$1001,$B$2:$B$1001,B118,$C$2:$C$1001,C118,$D$2:$D$1001,D118),0))</x:f>
      </x:c>
    </x:row>
    <x:row r="119" ht="24" customHeight="1">
      <x:c r="A119" s="34"/>
      <x:c r="B119" s="34"/>
      <x:c r="C119" s="34"/>
      <x:c r="D119" s="34"/>
      <x:c r="E119" s="35"/>
      <x:c r="F119" s="35"/>
      <x:c r="G119" s="35"/>
      <x:c r="H119" s="35" t="str">
        <x:f>IF(B119="","",IF(COUNTIFS($B$2:B119,B119,$C$2:C119,C119,$D$2:D119,D119)=1,E119-SUMIFS($G$2:$G$1001,$B$2:$B$1001,B119,$C$2:$C$1001,C119,$D$2:$D$1001,D119),0))</x:f>
      </x:c>
    </x:row>
    <x:row r="120" ht="24" customHeight="1">
      <x:c r="A120" s="34"/>
      <x:c r="B120" s="34"/>
      <x:c r="C120" s="34"/>
      <x:c r="D120" s="34"/>
      <x:c r="E120" s="35"/>
      <x:c r="F120" s="35"/>
      <x:c r="G120" s="35"/>
      <x:c r="H120" s="35" t="str">
        <x:f>IF(B120="","",IF(COUNTIFS($B$2:B120,B120,$C$2:C120,C120,$D$2:D120,D120)=1,E120-SUMIFS($G$2:$G$1001,$B$2:$B$1001,B120,$C$2:$C$1001,C120,$D$2:$D$1001,D120),0))</x:f>
      </x:c>
    </x:row>
    <x:row r="121" ht="24" customHeight="1">
      <x:c r="A121" s="34"/>
      <x:c r="B121" s="34"/>
      <x:c r="C121" s="34"/>
      <x:c r="D121" s="34"/>
      <x:c r="E121" s="35"/>
      <x:c r="F121" s="35"/>
      <x:c r="G121" s="35"/>
      <x:c r="H121" s="35" t="str">
        <x:f>IF(B121="","",IF(COUNTIFS($B$2:B121,B121,$C$2:C121,C121,$D$2:D121,D121)=1,E121-SUMIFS($G$2:$G$1001,$B$2:$B$1001,B121,$C$2:$C$1001,C121,$D$2:$D$1001,D121),0))</x:f>
      </x:c>
    </x:row>
    <x:row r="122" ht="24" customHeight="1">
      <x:c r="A122" s="34"/>
      <x:c r="B122" s="34"/>
      <x:c r="C122" s="34"/>
      <x:c r="D122" s="34"/>
      <x:c r="E122" s="35"/>
      <x:c r="F122" s="35"/>
      <x:c r="G122" s="35"/>
      <x:c r="H122" s="35" t="str">
        <x:f>IF(B122="","",IF(COUNTIFS($B$2:B122,B122,$C$2:C122,C122,$D$2:D122,D122)=1,E122-SUMIFS($G$2:$G$1001,$B$2:$B$1001,B122,$C$2:$C$1001,C122,$D$2:$D$1001,D122),0))</x:f>
      </x:c>
    </x:row>
    <x:row r="123" ht="24" customHeight="1">
      <x:c r="A123" s="34"/>
      <x:c r="B123" s="34"/>
      <x:c r="C123" s="34"/>
      <x:c r="D123" s="34"/>
      <x:c r="E123" s="35"/>
      <x:c r="F123" s="35"/>
      <x:c r="G123" s="35"/>
      <x:c r="H123" s="35" t="str">
        <x:f>IF(B123="","",IF(COUNTIFS($B$2:B123,B123,$C$2:C123,C123,$D$2:D123,D123)=1,E123-SUMIFS($G$2:$G$1001,$B$2:$B$1001,B123,$C$2:$C$1001,C123,$D$2:$D$1001,D123),0))</x:f>
      </x:c>
    </x:row>
    <x:row r="124" ht="24" customHeight="1">
      <x:c r="A124" s="34"/>
      <x:c r="B124" s="34"/>
      <x:c r="C124" s="34"/>
      <x:c r="D124" s="34"/>
      <x:c r="E124" s="35"/>
      <x:c r="F124" s="35"/>
      <x:c r="G124" s="35"/>
      <x:c r="H124" s="35" t="str">
        <x:f>IF(B124="","",IF(COUNTIFS($B$2:B124,B124,$C$2:C124,C124,$D$2:D124,D124)=1,E124-SUMIFS($G$2:$G$1001,$B$2:$B$1001,B124,$C$2:$C$1001,C124,$D$2:$D$1001,D124),0))</x:f>
      </x:c>
    </x:row>
    <x:row r="125" ht="24" customHeight="1">
      <x:c r="A125" s="34"/>
      <x:c r="B125" s="34"/>
      <x:c r="C125" s="34"/>
      <x:c r="D125" s="34"/>
      <x:c r="E125" s="35"/>
      <x:c r="F125" s="35"/>
      <x:c r="G125" s="35"/>
      <x:c r="H125" s="35" t="str">
        <x:f>IF(B125="","",IF(COUNTIFS($B$2:B125,B125,$C$2:C125,C125,$D$2:D125,D125)=1,E125-SUMIFS($G$2:$G$1001,$B$2:$B$1001,B125,$C$2:$C$1001,C125,$D$2:$D$1001,D125),0))</x:f>
      </x:c>
    </x:row>
    <x:row r="126" ht="24" customHeight="1">
      <x:c r="A126" s="34"/>
      <x:c r="B126" s="34"/>
      <x:c r="C126" s="34"/>
      <x:c r="D126" s="34"/>
      <x:c r="E126" s="35"/>
      <x:c r="F126" s="35"/>
      <x:c r="G126" s="35"/>
      <x:c r="H126" s="35" t="str">
        <x:f>IF(B126="","",IF(COUNTIFS($B$2:B126,B126,$C$2:C126,C126,$D$2:D126,D126)=1,E126-SUMIFS($G$2:$G$1001,$B$2:$B$1001,B126,$C$2:$C$1001,C126,$D$2:$D$1001,D126),0))</x:f>
      </x:c>
    </x:row>
    <x:row r="127" ht="24" customHeight="1">
      <x:c r="A127" s="34"/>
      <x:c r="B127" s="34"/>
      <x:c r="C127" s="34"/>
      <x:c r="D127" s="34"/>
      <x:c r="E127" s="35"/>
      <x:c r="F127" s="35"/>
      <x:c r="G127" s="35"/>
      <x:c r="H127" s="35" t="str">
        <x:f>IF(B127="","",IF(COUNTIFS($B$2:B127,B127,$C$2:C127,C127,$D$2:D127,D127)=1,E127-SUMIFS($G$2:$G$1001,$B$2:$B$1001,B127,$C$2:$C$1001,C127,$D$2:$D$1001,D127),0))</x:f>
      </x:c>
    </x:row>
    <x:row r="128" ht="24" customHeight="1">
      <x:c r="A128" s="34"/>
      <x:c r="B128" s="34"/>
      <x:c r="C128" s="34"/>
      <x:c r="D128" s="34"/>
      <x:c r="E128" s="35"/>
      <x:c r="F128" s="35"/>
      <x:c r="G128" s="35"/>
      <x:c r="H128" s="35" t="str">
        <x:f>IF(B128="","",IF(COUNTIFS($B$2:B128,B128,$C$2:C128,C128,$D$2:D128,D128)=1,E128-SUMIFS($G$2:$G$1001,$B$2:$B$1001,B128,$C$2:$C$1001,C128,$D$2:$D$1001,D128),0))</x:f>
      </x:c>
    </x:row>
    <x:row r="129" ht="24" customHeight="1">
      <x:c r="A129" s="34"/>
      <x:c r="B129" s="34"/>
      <x:c r="C129" s="34"/>
      <x:c r="D129" s="34"/>
      <x:c r="E129" s="35"/>
      <x:c r="F129" s="35"/>
      <x:c r="G129" s="35"/>
      <x:c r="H129" s="35" t="str">
        <x:f>IF(B129="","",IF(COUNTIFS($B$2:B129,B129,$C$2:C129,C129,$D$2:D129,D129)=1,E129-SUMIFS($G$2:$G$1001,$B$2:$B$1001,B129,$C$2:$C$1001,C129,$D$2:$D$1001,D129),0))</x:f>
      </x:c>
    </x:row>
    <x:row r="130" ht="24" customHeight="1">
      <x:c r="A130" s="34"/>
      <x:c r="B130" s="34"/>
      <x:c r="C130" s="34"/>
      <x:c r="D130" s="34"/>
      <x:c r="E130" s="35"/>
      <x:c r="F130" s="35"/>
      <x:c r="G130" s="35"/>
      <x:c r="H130" s="35" t="str">
        <x:f>IF(B130="","",IF(COUNTIFS($B$2:B130,B130,$C$2:C130,C130,$D$2:D130,D130)=1,E130-SUMIFS($G$2:$G$1001,$B$2:$B$1001,B130,$C$2:$C$1001,C130,$D$2:$D$1001,D130),0))</x:f>
      </x:c>
    </x:row>
    <x:row r="131" ht="24" customHeight="1">
      <x:c r="A131" s="34"/>
      <x:c r="B131" s="34"/>
      <x:c r="C131" s="34"/>
      <x:c r="D131" s="34"/>
      <x:c r="E131" s="35"/>
      <x:c r="F131" s="35"/>
      <x:c r="G131" s="35"/>
      <x:c r="H131" s="35" t="str">
        <x:f>IF(B131="","",IF(COUNTIFS($B$2:B131,B131,$C$2:C131,C131,$D$2:D131,D131)=1,E131-SUMIFS($G$2:$G$1001,$B$2:$B$1001,B131,$C$2:$C$1001,C131,$D$2:$D$1001,D131),0))</x:f>
      </x:c>
    </x:row>
    <x:row r="132" ht="24" customHeight="1">
      <x:c r="A132" s="34"/>
      <x:c r="B132" s="34"/>
      <x:c r="C132" s="34"/>
      <x:c r="D132" s="34"/>
      <x:c r="E132" s="35"/>
      <x:c r="F132" s="35"/>
      <x:c r="G132" s="35"/>
      <x:c r="H132" s="35" t="str">
        <x:f>IF(B132="","",IF(COUNTIFS($B$2:B132,B132,$C$2:C132,C132,$D$2:D132,D132)=1,E132-SUMIFS($G$2:$G$1001,$B$2:$B$1001,B132,$C$2:$C$1001,C132,$D$2:$D$1001,D132),0))</x:f>
      </x:c>
    </x:row>
    <x:row r="133" ht="24" customHeight="1">
      <x:c r="A133" s="34"/>
      <x:c r="B133" s="34"/>
      <x:c r="C133" s="34"/>
      <x:c r="D133" s="34"/>
      <x:c r="E133" s="35"/>
      <x:c r="F133" s="35"/>
      <x:c r="G133" s="35"/>
      <x:c r="H133" s="35" t="str">
        <x:f>IF(B133="","",IF(COUNTIFS($B$2:B133,B133,$C$2:C133,C133,$D$2:D133,D133)=1,E133-SUMIFS($G$2:$G$1001,$B$2:$B$1001,B133,$C$2:$C$1001,C133,$D$2:$D$1001,D133),0))</x:f>
      </x:c>
    </x:row>
    <x:row r="134" ht="24" customHeight="1">
      <x:c r="A134" s="34"/>
      <x:c r="B134" s="34"/>
      <x:c r="C134" s="34"/>
      <x:c r="D134" s="34"/>
      <x:c r="E134" s="35"/>
      <x:c r="F134" s="35"/>
      <x:c r="G134" s="35"/>
      <x:c r="H134" s="35" t="str">
        <x:f>IF(B134="","",IF(COUNTIFS($B$2:B134,B134,$C$2:C134,C134,$D$2:D134,D134)=1,E134-SUMIFS($G$2:$G$1001,$B$2:$B$1001,B134,$C$2:$C$1001,C134,$D$2:$D$1001,D134),0))</x:f>
      </x:c>
    </x:row>
    <x:row r="135" ht="24" customHeight="1">
      <x:c r="A135" s="34"/>
      <x:c r="B135" s="34"/>
      <x:c r="C135" s="34"/>
      <x:c r="D135" s="34"/>
      <x:c r="E135" s="35"/>
      <x:c r="F135" s="35"/>
      <x:c r="G135" s="35"/>
      <x:c r="H135" s="35" t="str">
        <x:f>IF(B135="","",IF(COUNTIFS($B$2:B135,B135,$C$2:C135,C135,$D$2:D135,D135)=1,E135-SUMIFS($G$2:$G$1001,$B$2:$B$1001,B135,$C$2:$C$1001,C135,$D$2:$D$1001,D135),0))</x:f>
      </x:c>
    </x:row>
    <x:row r="136" ht="24" customHeight="1">
      <x:c r="A136" s="34"/>
      <x:c r="B136" s="34"/>
      <x:c r="C136" s="34"/>
      <x:c r="D136" s="34"/>
      <x:c r="E136" s="35"/>
      <x:c r="F136" s="35"/>
      <x:c r="G136" s="35"/>
      <x:c r="H136" s="35" t="str">
        <x:f>IF(B136="","",IF(COUNTIFS($B$2:B136,B136,$C$2:C136,C136,$D$2:D136,D136)=1,E136-SUMIFS($G$2:$G$1001,$B$2:$B$1001,B136,$C$2:$C$1001,C136,$D$2:$D$1001,D136),0))</x:f>
      </x:c>
    </x:row>
    <x:row r="137" ht="24" customHeight="1">
      <x:c r="A137" s="34"/>
      <x:c r="B137" s="34"/>
      <x:c r="C137" s="34"/>
      <x:c r="D137" s="34"/>
      <x:c r="E137" s="35"/>
      <x:c r="F137" s="35"/>
      <x:c r="G137" s="35"/>
      <x:c r="H137" s="35" t="str">
        <x:f>IF(B137="","",IF(COUNTIFS($B$2:B137,B137,$C$2:C137,C137,$D$2:D137,D137)=1,E137-SUMIFS($G$2:$G$1001,$B$2:$B$1001,B137,$C$2:$C$1001,C137,$D$2:$D$1001,D137),0))</x:f>
      </x:c>
    </x:row>
    <x:row r="138" ht="24" customHeight="1">
      <x:c r="A138" s="34"/>
      <x:c r="B138" s="34"/>
      <x:c r="C138" s="34"/>
      <x:c r="D138" s="34"/>
      <x:c r="E138" s="35"/>
      <x:c r="F138" s="35"/>
      <x:c r="G138" s="35"/>
      <x:c r="H138" s="35" t="str">
        <x:f>IF(B138="","",IF(COUNTIFS($B$2:B138,B138,$C$2:C138,C138,$D$2:D138,D138)=1,E138-SUMIFS($G$2:$G$1001,$B$2:$B$1001,B138,$C$2:$C$1001,C138,$D$2:$D$1001,D138),0))</x:f>
      </x:c>
    </x:row>
    <x:row r="139" ht="24" customHeight="1">
      <x:c r="A139" s="34"/>
      <x:c r="B139" s="34"/>
      <x:c r="C139" s="34"/>
      <x:c r="D139" s="34"/>
      <x:c r="E139" s="35"/>
      <x:c r="F139" s="35"/>
      <x:c r="G139" s="35"/>
      <x:c r="H139" s="35" t="str">
        <x:f>IF(B139="","",IF(COUNTIFS($B$2:B139,B139,$C$2:C139,C139,$D$2:D139,D139)=1,E139-SUMIFS($G$2:$G$1001,$B$2:$B$1001,B139,$C$2:$C$1001,C139,$D$2:$D$1001,D139),0))</x:f>
      </x:c>
    </x:row>
    <x:row r="140" ht="24" customHeight="1">
      <x:c r="A140" s="34"/>
      <x:c r="B140" s="34"/>
      <x:c r="C140" s="34"/>
      <x:c r="D140" s="34"/>
      <x:c r="E140" s="35"/>
      <x:c r="F140" s="35"/>
      <x:c r="G140" s="35"/>
      <x:c r="H140" s="35" t="str">
        <x:f>IF(B140="","",IF(COUNTIFS($B$2:B140,B140,$C$2:C140,C140,$D$2:D140,D140)=1,E140-SUMIFS($G$2:$G$1001,$B$2:$B$1001,B140,$C$2:$C$1001,C140,$D$2:$D$1001,D140),0))</x:f>
      </x:c>
    </x:row>
    <x:row r="141" ht="24" customHeight="1">
      <x:c r="A141" s="34"/>
      <x:c r="B141" s="34"/>
      <x:c r="C141" s="34"/>
      <x:c r="D141" s="34"/>
      <x:c r="E141" s="35"/>
      <x:c r="F141" s="35"/>
      <x:c r="G141" s="35"/>
      <x:c r="H141" s="35" t="str">
        <x:f>IF(B141="","",IF(COUNTIFS($B$2:B141,B141,$C$2:C141,C141,$D$2:D141,D141)=1,E141-SUMIFS($G$2:$G$1001,$B$2:$B$1001,B141,$C$2:$C$1001,C141,$D$2:$D$1001,D141),0))</x:f>
      </x:c>
    </x:row>
    <x:row r="142" ht="24" customHeight="1">
      <x:c r="A142" s="34"/>
      <x:c r="B142" s="34"/>
      <x:c r="C142" s="34"/>
      <x:c r="D142" s="34"/>
      <x:c r="E142" s="35"/>
      <x:c r="F142" s="35"/>
      <x:c r="G142" s="35"/>
      <x:c r="H142" s="35" t="str">
        <x:f>IF(B142="","",IF(COUNTIFS($B$2:B142,B142,$C$2:C142,C142,$D$2:D142,D142)=1,E142-SUMIFS($G$2:$G$1001,$B$2:$B$1001,B142,$C$2:$C$1001,C142,$D$2:$D$1001,D142),0))</x:f>
      </x:c>
    </x:row>
    <x:row r="143" ht="24" customHeight="1">
      <x:c r="A143" s="34"/>
      <x:c r="B143" s="34"/>
      <x:c r="C143" s="34"/>
      <x:c r="D143" s="34"/>
      <x:c r="E143" s="35"/>
      <x:c r="F143" s="35"/>
      <x:c r="G143" s="35"/>
      <x:c r="H143" s="35" t="str">
        <x:f>IF(B143="","",IF(COUNTIFS($B$2:B143,B143,$C$2:C143,C143,$D$2:D143,D143)=1,E143-SUMIFS($G$2:$G$1001,$B$2:$B$1001,B143,$C$2:$C$1001,C143,$D$2:$D$1001,D143),0))</x:f>
      </x:c>
    </x:row>
    <x:row r="144" ht="24" customHeight="1">
      <x:c r="A144" s="34"/>
      <x:c r="B144" s="34"/>
      <x:c r="C144" s="34"/>
      <x:c r="D144" s="34"/>
      <x:c r="E144" s="35"/>
      <x:c r="F144" s="35"/>
      <x:c r="G144" s="35"/>
      <x:c r="H144" s="35" t="str">
        <x:f>IF(B144="","",IF(COUNTIFS($B$2:B144,B144,$C$2:C144,C144,$D$2:D144,D144)=1,E144-SUMIFS($G$2:$G$1001,$B$2:$B$1001,B144,$C$2:$C$1001,C144,$D$2:$D$1001,D144),0))</x:f>
      </x:c>
    </x:row>
    <x:row r="145" ht="24" customHeight="1">
      <x:c r="A145" s="34"/>
      <x:c r="B145" s="34"/>
      <x:c r="C145" s="34"/>
      <x:c r="D145" s="34"/>
      <x:c r="E145" s="35"/>
      <x:c r="F145" s="35"/>
      <x:c r="G145" s="35"/>
      <x:c r="H145" s="35" t="str">
        <x:f>IF(B145="","",IF(COUNTIFS($B$2:B145,B145,$C$2:C145,C145,$D$2:D145,D145)=1,E145-SUMIFS($G$2:$G$1001,$B$2:$B$1001,B145,$C$2:$C$1001,C145,$D$2:$D$1001,D145),0))</x:f>
      </x:c>
    </x:row>
    <x:row r="146" ht="24" customHeight="1">
      <x:c r="A146" s="34"/>
      <x:c r="B146" s="34"/>
      <x:c r="C146" s="34"/>
      <x:c r="D146" s="34"/>
      <x:c r="E146" s="35"/>
      <x:c r="F146" s="35"/>
      <x:c r="G146" s="35"/>
      <x:c r="H146" s="35" t="str">
        <x:f>IF(B146="","",IF(COUNTIFS($B$2:B146,B146,$C$2:C146,C146,$D$2:D146,D146)=1,E146-SUMIFS($G$2:$G$1001,$B$2:$B$1001,B146,$C$2:$C$1001,C146,$D$2:$D$1001,D146),0))</x:f>
      </x:c>
    </x:row>
    <x:row r="147" ht="24" customHeight="1">
      <x:c r="A147" s="34"/>
      <x:c r="B147" s="34"/>
      <x:c r="C147" s="34"/>
      <x:c r="D147" s="34"/>
      <x:c r="E147" s="35"/>
      <x:c r="F147" s="35"/>
      <x:c r="G147" s="35"/>
      <x:c r="H147" s="35" t="str">
        <x:f>IF(B147="","",IF(COUNTIFS($B$2:B147,B147,$C$2:C147,C147,$D$2:D147,D147)=1,E147-SUMIFS($G$2:$G$1001,$B$2:$B$1001,B147,$C$2:$C$1001,C147,$D$2:$D$1001,D147),0))</x:f>
      </x:c>
    </x:row>
    <x:row r="148" ht="24" customHeight="1">
      <x:c r="A148" s="34"/>
      <x:c r="B148" s="34"/>
      <x:c r="C148" s="34"/>
      <x:c r="D148" s="34"/>
      <x:c r="E148" s="35"/>
      <x:c r="F148" s="35"/>
      <x:c r="G148" s="35"/>
      <x:c r="H148" s="35" t="str">
        <x:f>IF(B148="","",IF(COUNTIFS($B$2:B148,B148,$C$2:C148,C148,$D$2:D148,D148)=1,E148-SUMIFS($G$2:$G$1001,$B$2:$B$1001,B148,$C$2:$C$1001,C148,$D$2:$D$1001,D148),0))</x:f>
      </x:c>
    </x:row>
    <x:row r="149" ht="24" customHeight="1">
      <x:c r="A149" s="34"/>
      <x:c r="B149" s="34"/>
      <x:c r="C149" s="34"/>
      <x:c r="D149" s="34"/>
      <x:c r="E149" s="35"/>
      <x:c r="F149" s="35"/>
      <x:c r="G149" s="35"/>
      <x:c r="H149" s="35" t="str">
        <x:f>IF(B149="","",IF(COUNTIFS($B$2:B149,B149,$C$2:C149,C149,$D$2:D149,D149)=1,E149-SUMIFS($G$2:$G$1001,$B$2:$B$1001,B149,$C$2:$C$1001,C149,$D$2:$D$1001,D149),0))</x:f>
      </x:c>
    </x:row>
    <x:row r="150" ht="24" customHeight="1">
      <x:c r="A150" s="34"/>
      <x:c r="B150" s="34"/>
      <x:c r="C150" s="34"/>
      <x:c r="D150" s="34"/>
      <x:c r="E150" s="35"/>
      <x:c r="F150" s="35"/>
      <x:c r="G150" s="35"/>
      <x:c r="H150" s="35" t="str">
        <x:f>IF(B150="","",IF(COUNTIFS($B$2:B150,B150,$C$2:C150,C150,$D$2:D150,D150)=1,E150-SUMIFS($G$2:$G$1001,$B$2:$B$1001,B150,$C$2:$C$1001,C150,$D$2:$D$1001,D150),0))</x:f>
      </x:c>
    </x:row>
    <x:row r="151" ht="24" customHeight="1">
      <x:c r="A151" s="34"/>
      <x:c r="B151" s="34"/>
      <x:c r="C151" s="34"/>
      <x:c r="D151" s="34"/>
      <x:c r="E151" s="35"/>
      <x:c r="F151" s="35"/>
      <x:c r="G151" s="35"/>
      <x:c r="H151" s="35" t="str">
        <x:f>IF(B151="","",IF(COUNTIFS($B$2:B151,B151,$C$2:C151,C151,$D$2:D151,D151)=1,E151-SUMIFS($G$2:$G$1001,$B$2:$B$1001,B151,$C$2:$C$1001,C151,$D$2:$D$1001,D151),0))</x:f>
      </x:c>
    </x:row>
    <x:row r="152" ht="24" customHeight="1">
      <x:c r="A152" s="34"/>
      <x:c r="B152" s="34"/>
      <x:c r="C152" s="34"/>
      <x:c r="D152" s="34"/>
      <x:c r="E152" s="35"/>
      <x:c r="F152" s="35"/>
      <x:c r="G152" s="35"/>
      <x:c r="H152" s="35" t="str">
        <x:f>IF(B152="","",IF(COUNTIFS($B$2:B152,B152,$C$2:C152,C152,$D$2:D152,D152)=1,E152-SUMIFS($G$2:$G$1001,$B$2:$B$1001,B152,$C$2:$C$1001,C152,$D$2:$D$1001,D152),0))</x:f>
      </x:c>
    </x:row>
    <x:row r="153" ht="24" customHeight="1">
      <x:c r="A153" s="34"/>
      <x:c r="B153" s="34"/>
      <x:c r="C153" s="34"/>
      <x:c r="D153" s="34"/>
      <x:c r="E153" s="35"/>
      <x:c r="F153" s="35"/>
      <x:c r="G153" s="35"/>
      <x:c r="H153" s="35" t="str">
        <x:f>IF(B153="","",IF(COUNTIFS($B$2:B153,B153,$C$2:C153,C153,$D$2:D153,D153)=1,E153-SUMIFS($G$2:$G$1001,$B$2:$B$1001,B153,$C$2:$C$1001,C153,$D$2:$D$1001,D153),0))</x:f>
      </x:c>
    </x:row>
    <x:row r="154" ht="24" customHeight="1">
      <x:c r="A154" s="34"/>
      <x:c r="B154" s="34"/>
      <x:c r="C154" s="34"/>
      <x:c r="D154" s="34"/>
      <x:c r="E154" s="35"/>
      <x:c r="F154" s="35"/>
      <x:c r="G154" s="35"/>
      <x:c r="H154" s="35" t="str">
        <x:f>IF(B154="","",IF(COUNTIFS($B$2:B154,B154,$C$2:C154,C154,$D$2:D154,D154)=1,E154-SUMIFS($G$2:$G$1001,$B$2:$B$1001,B154,$C$2:$C$1001,C154,$D$2:$D$1001,D154),0))</x:f>
      </x:c>
    </x:row>
    <x:row r="155" ht="24" customHeight="1">
      <x:c r="A155" s="34"/>
      <x:c r="B155" s="34"/>
      <x:c r="C155" s="34"/>
      <x:c r="D155" s="34"/>
      <x:c r="E155" s="35"/>
      <x:c r="F155" s="35"/>
      <x:c r="G155" s="35"/>
      <x:c r="H155" s="35" t="str">
        <x:f>IF(B155="","",IF(COUNTIFS($B$2:B155,B155,$C$2:C155,C155,$D$2:D155,D155)=1,E155-SUMIFS($G$2:$G$1001,$B$2:$B$1001,B155,$C$2:$C$1001,C155,$D$2:$D$1001,D155),0))</x:f>
      </x:c>
    </x:row>
    <x:row r="156" ht="24" customHeight="1">
      <x:c r="A156" s="34"/>
      <x:c r="B156" s="34"/>
      <x:c r="C156" s="34"/>
      <x:c r="D156" s="34"/>
      <x:c r="E156" s="35"/>
      <x:c r="F156" s="35"/>
      <x:c r="G156" s="35"/>
      <x:c r="H156" s="35" t="str">
        <x:f>IF(B156="","",IF(COUNTIFS($B$2:B156,B156,$C$2:C156,C156,$D$2:D156,D156)=1,E156-SUMIFS($G$2:$G$1001,$B$2:$B$1001,B156,$C$2:$C$1001,C156,$D$2:$D$1001,D156),0))</x:f>
      </x:c>
    </x:row>
    <x:row r="157" ht="24" customHeight="1">
      <x:c r="A157" s="34"/>
      <x:c r="B157" s="34"/>
      <x:c r="C157" s="34"/>
      <x:c r="D157" s="34"/>
      <x:c r="E157" s="35"/>
      <x:c r="F157" s="35"/>
      <x:c r="G157" s="35"/>
      <x:c r="H157" s="35" t="str">
        <x:f>IF(B157="","",IF(COUNTIFS($B$2:B157,B157,$C$2:C157,C157,$D$2:D157,D157)=1,E157-SUMIFS($G$2:$G$1001,$B$2:$B$1001,B157,$C$2:$C$1001,C157,$D$2:$D$1001,D157),0))</x:f>
      </x:c>
    </x:row>
    <x:row r="158" ht="24" customHeight="1">
      <x:c r="A158" s="34"/>
      <x:c r="B158" s="34"/>
      <x:c r="C158" s="34"/>
      <x:c r="D158" s="34"/>
      <x:c r="E158" s="35"/>
      <x:c r="F158" s="35"/>
      <x:c r="G158" s="35"/>
      <x:c r="H158" s="35" t="str">
        <x:f>IF(B158="","",IF(COUNTIFS($B$2:B158,B158,$C$2:C158,C158,$D$2:D158,D158)=1,E158-SUMIFS($G$2:$G$1001,$B$2:$B$1001,B158,$C$2:$C$1001,C158,$D$2:$D$1001,D158),0))</x:f>
      </x:c>
    </x:row>
    <x:row r="159" ht="24" customHeight="1">
      <x:c r="A159" s="34"/>
      <x:c r="B159" s="34"/>
      <x:c r="C159" s="34"/>
      <x:c r="D159" s="34"/>
      <x:c r="E159" s="35"/>
      <x:c r="F159" s="35"/>
      <x:c r="G159" s="35"/>
      <x:c r="H159" s="35" t="str">
        <x:f>IF(B159="","",IF(COUNTIFS($B$2:B159,B159,$C$2:C159,C159,$D$2:D159,D159)=1,E159-SUMIFS($G$2:$G$1001,$B$2:$B$1001,B159,$C$2:$C$1001,C159,$D$2:$D$1001,D159),0))</x:f>
      </x:c>
    </x:row>
    <x:row r="160" ht="24" customHeight="1">
      <x:c r="A160" s="34"/>
      <x:c r="B160" s="34"/>
      <x:c r="C160" s="34"/>
      <x:c r="D160" s="34"/>
      <x:c r="E160" s="35"/>
      <x:c r="F160" s="35"/>
      <x:c r="G160" s="35"/>
      <x:c r="H160" s="35" t="str">
        <x:f>IF(B160="","",IF(COUNTIFS($B$2:B160,B160,$C$2:C160,C160,$D$2:D160,D160)=1,E160-SUMIFS($G$2:$G$1001,$B$2:$B$1001,B160,$C$2:$C$1001,C160,$D$2:$D$1001,D160),0))</x:f>
      </x:c>
    </x:row>
    <x:row r="161" ht="24" customHeight="1">
      <x:c r="A161" s="34"/>
      <x:c r="B161" s="34"/>
      <x:c r="C161" s="34"/>
      <x:c r="D161" s="34"/>
      <x:c r="E161" s="35"/>
      <x:c r="F161" s="35"/>
      <x:c r="G161" s="35"/>
      <x:c r="H161" s="35" t="str">
        <x:f>IF(B161="","",IF(COUNTIFS($B$2:B161,B161,$C$2:C161,C161,$D$2:D161,D161)=1,E161-SUMIFS($G$2:$G$1001,$B$2:$B$1001,B161,$C$2:$C$1001,C161,$D$2:$D$1001,D161),0))</x:f>
      </x:c>
    </x:row>
    <x:row r="162" ht="24" customHeight="1">
      <x:c r="A162" s="34"/>
      <x:c r="B162" s="34"/>
      <x:c r="C162" s="34"/>
      <x:c r="D162" s="34"/>
      <x:c r="E162" s="35"/>
      <x:c r="F162" s="35"/>
      <x:c r="G162" s="35"/>
      <x:c r="H162" s="35" t="str">
        <x:f>IF(B162="","",IF(COUNTIFS($B$2:B162,B162,$C$2:C162,C162,$D$2:D162,D162)=1,E162-SUMIFS($G$2:$G$1001,$B$2:$B$1001,B162,$C$2:$C$1001,C162,$D$2:$D$1001,D162),0))</x:f>
      </x:c>
    </x:row>
    <x:row r="163" ht="24" customHeight="1">
      <x:c r="A163" s="34"/>
      <x:c r="B163" s="34"/>
      <x:c r="C163" s="34"/>
      <x:c r="D163" s="34"/>
      <x:c r="E163" s="35"/>
      <x:c r="F163" s="35"/>
      <x:c r="G163" s="35"/>
      <x:c r="H163" s="35" t="str">
        <x:f>IF(B163="","",IF(COUNTIFS($B$2:B163,B163,$C$2:C163,C163,$D$2:D163,D163)=1,E163-SUMIFS($G$2:$G$1001,$B$2:$B$1001,B163,$C$2:$C$1001,C163,$D$2:$D$1001,D163),0))</x:f>
      </x:c>
    </x:row>
    <x:row r="164" ht="24" customHeight="1">
      <x:c r="A164" s="34"/>
      <x:c r="B164" s="34"/>
      <x:c r="C164" s="34"/>
      <x:c r="D164" s="34"/>
      <x:c r="E164" s="35"/>
      <x:c r="F164" s="35"/>
      <x:c r="G164" s="35"/>
      <x:c r="H164" s="35" t="str">
        <x:f>IF(B164="","",IF(COUNTIFS($B$2:B164,B164,$C$2:C164,C164,$D$2:D164,D164)=1,E164-SUMIFS($G$2:$G$1001,$B$2:$B$1001,B164,$C$2:$C$1001,C164,$D$2:$D$1001,D164),0))</x:f>
      </x:c>
    </x:row>
    <x:row r="165" ht="24" customHeight="1">
      <x:c r="A165" s="34"/>
      <x:c r="B165" s="34"/>
      <x:c r="C165" s="34"/>
      <x:c r="D165" s="34"/>
      <x:c r="E165" s="35"/>
      <x:c r="F165" s="35"/>
      <x:c r="G165" s="35"/>
      <x:c r="H165" s="35" t="str">
        <x:f>IF(B165="","",IF(COUNTIFS($B$2:B165,B165,$C$2:C165,C165,$D$2:D165,D165)=1,E165-SUMIFS($G$2:$G$1001,$B$2:$B$1001,B165,$C$2:$C$1001,C165,$D$2:$D$1001,D165),0))</x:f>
      </x:c>
    </x:row>
    <x:row r="166" ht="24" customHeight="1">
      <x:c r="A166" s="34"/>
      <x:c r="B166" s="34"/>
      <x:c r="C166" s="34"/>
      <x:c r="D166" s="34"/>
      <x:c r="E166" s="35"/>
      <x:c r="F166" s="35"/>
      <x:c r="G166" s="35"/>
      <x:c r="H166" s="35" t="str">
        <x:f>IF(B166="","",IF(COUNTIFS($B$2:B166,B166,$C$2:C166,C166,$D$2:D166,D166)=1,E166-SUMIFS($G$2:$G$1001,$B$2:$B$1001,B166,$C$2:$C$1001,C166,$D$2:$D$1001,D166),0))</x:f>
      </x:c>
    </x:row>
    <x:row r="167" ht="24" customHeight="1">
      <x:c r="A167" s="34"/>
      <x:c r="B167" s="34"/>
      <x:c r="C167" s="34"/>
      <x:c r="D167" s="34"/>
      <x:c r="E167" s="35"/>
      <x:c r="F167" s="35"/>
      <x:c r="G167" s="35"/>
      <x:c r="H167" s="35" t="str">
        <x:f>IF(B167="","",IF(COUNTIFS($B$2:B167,B167,$C$2:C167,C167,$D$2:D167,D167)=1,E167-SUMIFS($G$2:$G$1001,$B$2:$B$1001,B167,$C$2:$C$1001,C167,$D$2:$D$1001,D167),0))</x:f>
      </x:c>
    </x:row>
    <x:row r="168" ht="24" customHeight="1">
      <x:c r="A168" s="34"/>
      <x:c r="B168" s="34"/>
      <x:c r="C168" s="34"/>
      <x:c r="D168" s="34"/>
      <x:c r="E168" s="35"/>
      <x:c r="F168" s="35"/>
      <x:c r="G168" s="35"/>
      <x:c r="H168" s="35" t="str">
        <x:f>IF(B168="","",IF(COUNTIFS($B$2:B168,B168,$C$2:C168,C168,$D$2:D168,D168)=1,E168-SUMIFS($G$2:$G$1001,$B$2:$B$1001,B168,$C$2:$C$1001,C168,$D$2:$D$1001,D168),0))</x:f>
      </x:c>
    </x:row>
    <x:row r="169" ht="24" customHeight="1">
      <x:c r="A169" s="34"/>
      <x:c r="B169" s="34"/>
      <x:c r="C169" s="34"/>
      <x:c r="D169" s="34"/>
      <x:c r="E169" s="35"/>
      <x:c r="F169" s="35"/>
      <x:c r="G169" s="35"/>
      <x:c r="H169" s="35" t="str">
        <x:f>IF(B169="","",IF(COUNTIFS($B$2:B169,B169,$C$2:C169,C169,$D$2:D169,D169)=1,E169-SUMIFS($G$2:$G$1001,$B$2:$B$1001,B169,$C$2:$C$1001,C169,$D$2:$D$1001,D169),0))</x:f>
      </x:c>
    </x:row>
    <x:row r="170" ht="24" customHeight="1">
      <x:c r="A170" s="34"/>
      <x:c r="B170" s="34"/>
      <x:c r="C170" s="34"/>
      <x:c r="D170" s="34"/>
      <x:c r="E170" s="35"/>
      <x:c r="F170" s="35"/>
      <x:c r="G170" s="35"/>
      <x:c r="H170" s="35" t="str">
        <x:f>IF(B170="","",IF(COUNTIFS($B$2:B170,B170,$C$2:C170,C170,$D$2:D170,D170)=1,E170-SUMIFS($G$2:$G$1001,$B$2:$B$1001,B170,$C$2:$C$1001,C170,$D$2:$D$1001,D170),0))</x:f>
      </x:c>
    </x:row>
    <x:row r="171" ht="24" customHeight="1">
      <x:c r="A171" s="34"/>
      <x:c r="B171" s="34"/>
      <x:c r="C171" s="34"/>
      <x:c r="D171" s="34"/>
      <x:c r="E171" s="35"/>
      <x:c r="F171" s="35"/>
      <x:c r="G171" s="35"/>
      <x:c r="H171" s="35" t="str">
        <x:f>IF(B171="","",IF(COUNTIFS($B$2:B171,B171,$C$2:C171,C171,$D$2:D171,D171)=1,E171-SUMIFS($G$2:$G$1001,$B$2:$B$1001,B171,$C$2:$C$1001,C171,$D$2:$D$1001,D171),0))</x:f>
      </x:c>
    </x:row>
    <x:row r="172" ht="24" customHeight="1">
      <x:c r="A172" s="34"/>
      <x:c r="B172" s="34"/>
      <x:c r="C172" s="34"/>
      <x:c r="D172" s="34"/>
      <x:c r="E172" s="35"/>
      <x:c r="F172" s="35"/>
      <x:c r="G172" s="35"/>
      <x:c r="H172" s="35" t="str">
        <x:f>IF(B172="","",IF(COUNTIFS($B$2:B172,B172,$C$2:C172,C172,$D$2:D172,D172)=1,E172-SUMIFS($G$2:$G$1001,$B$2:$B$1001,B172,$C$2:$C$1001,C172,$D$2:$D$1001,D172),0))</x:f>
      </x:c>
    </x:row>
    <x:row r="173" ht="24" customHeight="1">
      <x:c r="A173" s="34"/>
      <x:c r="B173" s="34"/>
      <x:c r="C173" s="34"/>
      <x:c r="D173" s="34"/>
      <x:c r="E173" s="35"/>
      <x:c r="F173" s="35"/>
      <x:c r="G173" s="35"/>
      <x:c r="H173" s="35" t="str">
        <x:f>IF(B173="","",IF(COUNTIFS($B$2:B173,B173,$C$2:C173,C173,$D$2:D173,D173)=1,E173-SUMIFS($G$2:$G$1001,$B$2:$B$1001,B173,$C$2:$C$1001,C173,$D$2:$D$1001,D173),0))</x:f>
      </x:c>
    </x:row>
    <x:row r="174" ht="24" customHeight="1">
      <x:c r="A174" s="34"/>
      <x:c r="B174" s="34"/>
      <x:c r="C174" s="34"/>
      <x:c r="D174" s="34"/>
      <x:c r="E174" s="35"/>
      <x:c r="F174" s="35"/>
      <x:c r="G174" s="35"/>
      <x:c r="H174" s="35" t="str">
        <x:f>IF(B174="","",IF(COUNTIFS($B$2:B174,B174,$C$2:C174,C174,$D$2:D174,D174)=1,E174-SUMIFS($G$2:$G$1001,$B$2:$B$1001,B174,$C$2:$C$1001,C174,$D$2:$D$1001,D174),0))</x:f>
      </x:c>
    </x:row>
    <x:row r="175" ht="24" customHeight="1">
      <x:c r="A175" s="34"/>
      <x:c r="B175" s="34"/>
      <x:c r="C175" s="34"/>
      <x:c r="D175" s="34"/>
      <x:c r="E175" s="35"/>
      <x:c r="F175" s="35"/>
      <x:c r="G175" s="35"/>
      <x:c r="H175" s="35" t="str">
        <x:f>IF(B175="","",IF(COUNTIFS($B$2:B175,B175,$C$2:C175,C175,$D$2:D175,D175)=1,E175-SUMIFS($G$2:$G$1001,$B$2:$B$1001,B175,$C$2:$C$1001,C175,$D$2:$D$1001,D175),0))</x:f>
      </x:c>
    </x:row>
    <x:row r="176" ht="24" customHeight="1">
      <x:c r="A176" s="34"/>
      <x:c r="B176" s="34"/>
      <x:c r="C176" s="34"/>
      <x:c r="D176" s="34"/>
      <x:c r="E176" s="35"/>
      <x:c r="F176" s="35"/>
      <x:c r="G176" s="35"/>
      <x:c r="H176" s="35" t="str">
        <x:f>IF(B176="","",IF(COUNTIFS($B$2:B176,B176,$C$2:C176,C176,$D$2:D176,D176)=1,E176-SUMIFS($G$2:$G$1001,$B$2:$B$1001,B176,$C$2:$C$1001,C176,$D$2:$D$1001,D176),0))</x:f>
      </x:c>
    </x:row>
    <x:row r="177" ht="24" customHeight="1">
      <x:c r="A177" s="34"/>
      <x:c r="B177" s="34"/>
      <x:c r="C177" s="34"/>
      <x:c r="D177" s="34"/>
      <x:c r="E177" s="35"/>
      <x:c r="F177" s="35"/>
      <x:c r="G177" s="35"/>
      <x:c r="H177" s="35" t="str">
        <x:f>IF(B177="","",IF(COUNTIFS($B$2:B177,B177,$C$2:C177,C177,$D$2:D177,D177)=1,E177-SUMIFS($G$2:$G$1001,$B$2:$B$1001,B177,$C$2:$C$1001,C177,$D$2:$D$1001,D177),0))</x:f>
      </x:c>
    </x:row>
    <x:row r="178" ht="24" customHeight="1">
      <x:c r="A178" s="34"/>
      <x:c r="B178" s="34"/>
      <x:c r="C178" s="34"/>
      <x:c r="D178" s="34"/>
      <x:c r="E178" s="35"/>
      <x:c r="F178" s="35"/>
      <x:c r="G178" s="35"/>
      <x:c r="H178" s="35" t="str">
        <x:f>IF(B178="","",IF(COUNTIFS($B$2:B178,B178,$C$2:C178,C178,$D$2:D178,D178)=1,E178-SUMIFS($G$2:$G$1001,$B$2:$B$1001,B178,$C$2:$C$1001,C178,$D$2:$D$1001,D178),0))</x:f>
      </x:c>
    </x:row>
    <x:row r="179" ht="24" customHeight="1">
      <x:c r="A179" s="34"/>
      <x:c r="B179" s="34"/>
      <x:c r="C179" s="34"/>
      <x:c r="D179" s="34"/>
      <x:c r="E179" s="35"/>
      <x:c r="F179" s="35"/>
      <x:c r="G179" s="35"/>
      <x:c r="H179" s="35" t="str">
        <x:f>IF(B179="","",IF(COUNTIFS($B$2:B179,B179,$C$2:C179,C179,$D$2:D179,D179)=1,E179-SUMIFS($G$2:$G$1001,$B$2:$B$1001,B179,$C$2:$C$1001,C179,$D$2:$D$1001,D179),0))</x:f>
      </x:c>
    </x:row>
    <x:row r="180" ht="24" customHeight="1">
      <x:c r="A180" s="34"/>
      <x:c r="B180" s="34"/>
      <x:c r="C180" s="34"/>
      <x:c r="D180" s="34"/>
      <x:c r="E180" s="35"/>
      <x:c r="F180" s="35"/>
      <x:c r="G180" s="35"/>
      <x:c r="H180" s="35" t="str">
        <x:f>IF(B180="","",IF(COUNTIFS($B$2:B180,B180,$C$2:C180,C180,$D$2:D180,D180)=1,E180-SUMIFS($G$2:$G$1001,$B$2:$B$1001,B180,$C$2:$C$1001,C180,$D$2:$D$1001,D180),0))</x:f>
      </x:c>
    </x:row>
    <x:row r="181" ht="24" customHeight="1">
      <x:c r="A181" s="34"/>
      <x:c r="B181" s="34"/>
      <x:c r="C181" s="34"/>
      <x:c r="D181" s="34"/>
      <x:c r="E181" s="35"/>
      <x:c r="F181" s="35"/>
      <x:c r="G181" s="35"/>
      <x:c r="H181" s="35" t="str">
        <x:f>IF(B181="","",IF(COUNTIFS($B$2:B181,B181,$C$2:C181,C181,$D$2:D181,D181)=1,E181-SUMIFS($G$2:$G$1001,$B$2:$B$1001,B181,$C$2:$C$1001,C181,$D$2:$D$1001,D181),0))</x:f>
      </x:c>
    </x:row>
    <x:row r="182" ht="24" customHeight="1">
      <x:c r="A182" s="34"/>
      <x:c r="B182" s="34"/>
      <x:c r="C182" s="34"/>
      <x:c r="D182" s="34"/>
      <x:c r="E182" s="35"/>
      <x:c r="F182" s="35"/>
      <x:c r="G182" s="35"/>
      <x:c r="H182" s="35" t="str">
        <x:f>IF(B182="","",IF(COUNTIFS($B$2:B182,B182,$C$2:C182,C182,$D$2:D182,D182)=1,E182-SUMIFS($G$2:$G$1001,$B$2:$B$1001,B182,$C$2:$C$1001,C182,$D$2:$D$1001,D182),0))</x:f>
      </x:c>
    </x:row>
    <x:row r="183" ht="24" customHeight="1">
      <x:c r="A183" s="34"/>
      <x:c r="B183" s="34"/>
      <x:c r="C183" s="34"/>
      <x:c r="D183" s="34"/>
      <x:c r="E183" s="35"/>
      <x:c r="F183" s="35"/>
      <x:c r="G183" s="35"/>
      <x:c r="H183" s="35" t="str">
        <x:f>IF(B183="","",IF(COUNTIFS($B$2:B183,B183,$C$2:C183,C183,$D$2:D183,D183)=1,E183-SUMIFS($G$2:$G$1001,$B$2:$B$1001,B183,$C$2:$C$1001,C183,$D$2:$D$1001,D183),0))</x:f>
      </x:c>
    </x:row>
    <x:row r="184" ht="24" customHeight="1">
      <x:c r="A184" s="34"/>
      <x:c r="B184" s="34"/>
      <x:c r="C184" s="34"/>
      <x:c r="D184" s="34"/>
      <x:c r="E184" s="35"/>
      <x:c r="F184" s="35"/>
      <x:c r="G184" s="35"/>
      <x:c r="H184" s="35" t="str">
        <x:f>IF(B184="","",IF(COUNTIFS($B$2:B184,B184,$C$2:C184,C184,$D$2:D184,D184)=1,E184-SUMIFS($G$2:$G$1001,$B$2:$B$1001,B184,$C$2:$C$1001,C184,$D$2:$D$1001,D184),0))</x:f>
      </x:c>
    </x:row>
    <x:row r="185" ht="24" customHeight="1">
      <x:c r="A185" s="34"/>
      <x:c r="B185" s="34"/>
      <x:c r="C185" s="34"/>
      <x:c r="D185" s="34"/>
      <x:c r="E185" s="35"/>
      <x:c r="F185" s="35"/>
      <x:c r="G185" s="35"/>
      <x:c r="H185" s="35" t="str">
        <x:f>IF(B185="","",IF(COUNTIFS($B$2:B185,B185,$C$2:C185,C185,$D$2:D185,D185)=1,E185-SUMIFS($G$2:$G$1001,$B$2:$B$1001,B185,$C$2:$C$1001,C185,$D$2:$D$1001,D185),0))</x:f>
      </x:c>
    </x:row>
    <x:row r="186" ht="24" customHeight="1">
      <x:c r="A186" s="34"/>
      <x:c r="B186" s="34"/>
      <x:c r="C186" s="34"/>
      <x:c r="D186" s="34"/>
      <x:c r="E186" s="35"/>
      <x:c r="F186" s="35"/>
      <x:c r="G186" s="35"/>
      <x:c r="H186" s="35" t="str">
        <x:f>IF(B186="","",IF(COUNTIFS($B$2:B186,B186,$C$2:C186,C186,$D$2:D186,D186)=1,E186-SUMIFS($G$2:$G$1001,$B$2:$B$1001,B186,$C$2:$C$1001,C186,$D$2:$D$1001,D186),0))</x:f>
      </x:c>
    </x:row>
    <x:row r="187" ht="24" customHeight="1">
      <x:c r="A187" s="34"/>
      <x:c r="B187" s="34"/>
      <x:c r="C187" s="34"/>
      <x:c r="D187" s="34"/>
      <x:c r="E187" s="35"/>
      <x:c r="F187" s="35"/>
      <x:c r="G187" s="35"/>
      <x:c r="H187" s="35" t="str">
        <x:f>IF(B187="","",IF(COUNTIFS($B$2:B187,B187,$C$2:C187,C187,$D$2:D187,D187)=1,E187-SUMIFS($G$2:$G$1001,$B$2:$B$1001,B187,$C$2:$C$1001,C187,$D$2:$D$1001,D187),0))</x:f>
      </x:c>
    </x:row>
    <x:row r="188" ht="24" customHeight="1">
      <x:c r="A188" s="34"/>
      <x:c r="B188" s="34"/>
      <x:c r="C188" s="34"/>
      <x:c r="D188" s="34"/>
      <x:c r="E188" s="35"/>
      <x:c r="F188" s="35"/>
      <x:c r="G188" s="35"/>
      <x:c r="H188" s="35" t="str">
        <x:f>IF(B188="","",IF(COUNTIFS($B$2:B188,B188,$C$2:C188,C188,$D$2:D188,D188)=1,E188-SUMIFS($G$2:$G$1001,$B$2:$B$1001,B188,$C$2:$C$1001,C188,$D$2:$D$1001,D188),0))</x:f>
      </x:c>
    </x:row>
    <x:row r="189" ht="24" customHeight="1">
      <x:c r="A189" s="34"/>
      <x:c r="B189" s="34"/>
      <x:c r="C189" s="34"/>
      <x:c r="D189" s="34"/>
      <x:c r="E189" s="35"/>
      <x:c r="F189" s="35"/>
      <x:c r="G189" s="35"/>
      <x:c r="H189" s="35" t="str">
        <x:f>IF(B189="","",IF(COUNTIFS($B$2:B189,B189,$C$2:C189,C189,$D$2:D189,D189)=1,E189-SUMIFS($G$2:$G$1001,$B$2:$B$1001,B189,$C$2:$C$1001,C189,$D$2:$D$1001,D189),0))</x:f>
      </x:c>
    </x:row>
    <x:row r="190" ht="24" customHeight="1">
      <x:c r="A190" s="34"/>
      <x:c r="B190" s="34"/>
      <x:c r="C190" s="34"/>
      <x:c r="D190" s="34"/>
      <x:c r="E190" s="35"/>
      <x:c r="F190" s="35"/>
      <x:c r="G190" s="35"/>
      <x:c r="H190" s="35" t="str">
        <x:f>IF(B190="","",IF(COUNTIFS($B$2:B190,B190,$C$2:C190,C190,$D$2:D190,D190)=1,E190-SUMIFS($G$2:$G$1001,$B$2:$B$1001,B190,$C$2:$C$1001,C190,$D$2:$D$1001,D190),0))</x:f>
      </x:c>
    </x:row>
    <x:row r="191" ht="24" customHeight="1">
      <x:c r="A191" s="34"/>
      <x:c r="B191" s="34"/>
      <x:c r="C191" s="34"/>
      <x:c r="D191" s="34"/>
      <x:c r="E191" s="35"/>
      <x:c r="F191" s="35"/>
      <x:c r="G191" s="35"/>
      <x:c r="H191" s="35" t="str">
        <x:f>IF(B191="","",IF(COUNTIFS($B$2:B191,B191,$C$2:C191,C191,$D$2:D191,D191)=1,E191-SUMIFS($G$2:$G$1001,$B$2:$B$1001,B191,$C$2:$C$1001,C191,$D$2:$D$1001,D191),0))</x:f>
      </x:c>
    </x:row>
    <x:row r="192" ht="24" customHeight="1">
      <x:c r="A192" s="34"/>
      <x:c r="B192" s="34"/>
      <x:c r="C192" s="34"/>
      <x:c r="D192" s="34"/>
      <x:c r="E192" s="35"/>
      <x:c r="F192" s="35"/>
      <x:c r="G192" s="35"/>
      <x:c r="H192" s="35" t="str">
        <x:f>IF(B192="","",IF(COUNTIFS($B$2:B192,B192,$C$2:C192,C192,$D$2:D192,D192)=1,E192-SUMIFS($G$2:$G$1001,$B$2:$B$1001,B192,$C$2:$C$1001,C192,$D$2:$D$1001,D192),0))</x:f>
      </x:c>
    </x:row>
    <x:row r="193" ht="24" customHeight="1">
      <x:c r="A193" s="34"/>
      <x:c r="B193" s="34"/>
      <x:c r="C193" s="34"/>
      <x:c r="D193" s="34"/>
      <x:c r="E193" s="35"/>
      <x:c r="F193" s="35"/>
      <x:c r="G193" s="35"/>
      <x:c r="H193" s="35" t="str">
        <x:f>IF(B193="","",IF(COUNTIFS($B$2:B193,B193,$C$2:C193,C193,$D$2:D193,D193)=1,E193-SUMIFS($G$2:$G$1001,$B$2:$B$1001,B193,$C$2:$C$1001,C193,$D$2:$D$1001,D193),0))</x:f>
      </x:c>
    </x:row>
    <x:row r="194" ht="24" customHeight="1">
      <x:c r="A194" s="34"/>
      <x:c r="B194" s="34"/>
      <x:c r="C194" s="34"/>
      <x:c r="D194" s="34"/>
      <x:c r="E194" s="35"/>
      <x:c r="F194" s="35"/>
      <x:c r="G194" s="35"/>
      <x:c r="H194" s="35" t="str">
        <x:f>IF(B194="","",IF(COUNTIFS($B$2:B194,B194,$C$2:C194,C194,$D$2:D194,D194)=1,E194-SUMIFS($G$2:$G$1001,$B$2:$B$1001,B194,$C$2:$C$1001,C194,$D$2:$D$1001,D194),0))</x:f>
      </x:c>
    </x:row>
    <x:row r="195" ht="24" customHeight="1">
      <x:c r="A195" s="34"/>
      <x:c r="B195" s="34"/>
      <x:c r="C195" s="34"/>
      <x:c r="D195" s="34"/>
      <x:c r="E195" s="35"/>
      <x:c r="F195" s="35"/>
      <x:c r="G195" s="35"/>
      <x:c r="H195" s="35" t="str">
        <x:f>IF(B195="","",IF(COUNTIFS($B$2:B195,B195,$C$2:C195,C195,$D$2:D195,D195)=1,E195-SUMIFS($G$2:$G$1001,$B$2:$B$1001,B195,$C$2:$C$1001,C195,$D$2:$D$1001,D195),0))</x:f>
      </x:c>
    </x:row>
    <x:row r="196" ht="24" customHeight="1">
      <x:c r="A196" s="34"/>
      <x:c r="B196" s="34"/>
      <x:c r="C196" s="34"/>
      <x:c r="D196" s="34"/>
      <x:c r="E196" s="35"/>
      <x:c r="F196" s="35"/>
      <x:c r="G196" s="35"/>
      <x:c r="H196" s="35" t="str">
        <x:f>IF(B196="","",IF(COUNTIFS($B$2:B196,B196,$C$2:C196,C196,$D$2:D196,D196)=1,E196-SUMIFS($G$2:$G$1001,$B$2:$B$1001,B196,$C$2:$C$1001,C196,$D$2:$D$1001,D196),0))</x:f>
      </x:c>
    </x:row>
    <x:row r="197" ht="24" customHeight="1">
      <x:c r="A197" s="34"/>
      <x:c r="B197" s="34"/>
      <x:c r="C197" s="34"/>
      <x:c r="D197" s="34"/>
      <x:c r="E197" s="35"/>
      <x:c r="F197" s="35"/>
      <x:c r="G197" s="35"/>
      <x:c r="H197" s="35" t="str">
        <x:f>IF(B197="","",IF(COUNTIFS($B$2:B197,B197,$C$2:C197,C197,$D$2:D197,D197)=1,E197-SUMIFS($G$2:$G$1001,$B$2:$B$1001,B197,$C$2:$C$1001,C197,$D$2:$D$1001,D197),0))</x:f>
      </x:c>
    </x:row>
    <x:row r="198" ht="24" customHeight="1">
      <x:c r="A198" s="34"/>
      <x:c r="B198" s="34"/>
      <x:c r="C198" s="34"/>
      <x:c r="D198" s="34"/>
      <x:c r="E198" s="35"/>
      <x:c r="F198" s="35"/>
      <x:c r="G198" s="35"/>
      <x:c r="H198" s="35" t="str">
        <x:f>IF(B198="","",IF(COUNTIFS($B$2:B198,B198,$C$2:C198,C198,$D$2:D198,D198)=1,E198-SUMIFS($G$2:$G$1001,$B$2:$B$1001,B198,$C$2:$C$1001,C198,$D$2:$D$1001,D198),0))</x:f>
      </x:c>
    </x:row>
    <x:row r="199" ht="24" customHeight="1">
      <x:c r="A199" s="34"/>
      <x:c r="B199" s="34"/>
      <x:c r="C199" s="34"/>
      <x:c r="D199" s="34"/>
      <x:c r="E199" s="35"/>
      <x:c r="F199" s="35"/>
      <x:c r="G199" s="35"/>
      <x:c r="H199" s="35" t="str">
        <x:f>IF(B199="","",IF(COUNTIFS($B$2:B199,B199,$C$2:C199,C199,$D$2:D199,D199)=1,E199-SUMIFS($G$2:$G$1001,$B$2:$B$1001,B199,$C$2:$C$1001,C199,$D$2:$D$1001,D199),0))</x:f>
      </x:c>
    </x:row>
    <x:row r="200" ht="24" customHeight="1">
      <x:c r="A200" s="34"/>
      <x:c r="B200" s="34"/>
      <x:c r="C200" s="34"/>
      <x:c r="D200" s="34"/>
      <x:c r="E200" s="35"/>
      <x:c r="F200" s="35"/>
      <x:c r="G200" s="35"/>
      <x:c r="H200" s="35" t="str">
        <x:f>IF(B200="","",IF(COUNTIFS($B$2:B200,B200,$C$2:C200,C200,$D$2:D200,D200)=1,E200-SUMIFS($G$2:$G$1001,$B$2:$B$1001,B200,$C$2:$C$1001,C200,$D$2:$D$1001,D200),0))</x:f>
      </x:c>
    </x:row>
    <x:row r="201" ht="24" customHeight="1">
      <x:c r="A201" s="34"/>
      <x:c r="B201" s="34"/>
      <x:c r="C201" s="34"/>
      <x:c r="D201" s="34"/>
      <x:c r="E201" s="35"/>
      <x:c r="F201" s="35"/>
      <x:c r="G201" s="35"/>
      <x:c r="H201" s="35" t="str">
        <x:f>IF(B201="","",IF(COUNTIFS($B$2:B201,B201,$C$2:C201,C201,$D$2:D201,D201)=1,E201-SUMIFS($G$2:$G$1001,$B$2:$B$1001,B201,$C$2:$C$1001,C201,$D$2:$D$1001,D201),0))</x:f>
      </x:c>
    </x:row>
    <x:row r="202" ht="24" customHeight="1">
      <x:c r="A202" s="34"/>
      <x:c r="B202" s="34"/>
      <x:c r="C202" s="34"/>
      <x:c r="D202" s="34"/>
      <x:c r="E202" s="35"/>
      <x:c r="F202" s="35"/>
      <x:c r="G202" s="35"/>
      <x:c r="H202" s="35" t="str">
        <x:f>IF(B202="","",IF(COUNTIFS($B$2:B202,B202,$C$2:C202,C202,$D$2:D202,D202)=1,E202-SUMIFS($G$2:$G$1001,$B$2:$B$1001,B202,$C$2:$C$1001,C202,$D$2:$D$1001,D202),0))</x:f>
      </x:c>
    </x:row>
    <x:row r="203" ht="24" customHeight="1">
      <x:c r="A203" s="34"/>
      <x:c r="B203" s="34"/>
      <x:c r="C203" s="34"/>
      <x:c r="D203" s="34"/>
      <x:c r="E203" s="35"/>
      <x:c r="F203" s="35"/>
      <x:c r="G203" s="35"/>
      <x:c r="H203" s="35" t="str">
        <x:f>IF(B203="","",IF(COUNTIFS($B$2:B203,B203,$C$2:C203,C203,$D$2:D203,D203)=1,E203-SUMIFS($G$2:$G$1001,$B$2:$B$1001,B203,$C$2:$C$1001,C203,$D$2:$D$1001,D203),0))</x:f>
      </x:c>
    </x:row>
    <x:row r="204" ht="24" customHeight="1">
      <x:c r="A204" s="34"/>
      <x:c r="B204" s="34"/>
      <x:c r="C204" s="34"/>
      <x:c r="D204" s="34"/>
      <x:c r="E204" s="35"/>
      <x:c r="F204" s="35"/>
      <x:c r="G204" s="35"/>
      <x:c r="H204" s="35" t="str">
        <x:f>IF(B204="","",IF(COUNTIFS($B$2:B204,B204,$C$2:C204,C204,$D$2:D204,D204)=1,E204-SUMIFS($G$2:$G$1001,$B$2:$B$1001,B204,$C$2:$C$1001,C204,$D$2:$D$1001,D204),0))</x:f>
      </x:c>
    </x:row>
    <x:row r="205" ht="24" customHeight="1">
      <x:c r="A205" s="34"/>
      <x:c r="B205" s="34"/>
      <x:c r="C205" s="34"/>
      <x:c r="D205" s="34"/>
      <x:c r="E205" s="35"/>
      <x:c r="F205" s="35"/>
      <x:c r="G205" s="35"/>
      <x:c r="H205" s="35" t="str">
        <x:f>IF(B205="","",IF(COUNTIFS($B$2:B205,B205,$C$2:C205,C205,$D$2:D205,D205)=1,E205-SUMIFS($G$2:$G$1001,$B$2:$B$1001,B205,$C$2:$C$1001,C205,$D$2:$D$1001,D205),0))</x:f>
      </x:c>
    </x:row>
    <x:row r="206" ht="24" customHeight="1">
      <x:c r="A206" s="34"/>
      <x:c r="B206" s="34"/>
      <x:c r="C206" s="34"/>
      <x:c r="D206" s="34"/>
      <x:c r="E206" s="35"/>
      <x:c r="F206" s="35"/>
      <x:c r="G206" s="35"/>
      <x:c r="H206" s="35" t="str">
        <x:f>IF(B206="","",IF(COUNTIFS($B$2:B206,B206,$C$2:C206,C206,$D$2:D206,D206)=1,E206-SUMIFS($G$2:$G$1001,$B$2:$B$1001,B206,$C$2:$C$1001,C206,$D$2:$D$1001,D206),0))</x:f>
      </x:c>
    </x:row>
    <x:row r="207" ht="24" customHeight="1">
      <x:c r="A207" s="34"/>
      <x:c r="B207" s="34"/>
      <x:c r="C207" s="34"/>
      <x:c r="D207" s="34"/>
      <x:c r="E207" s="35"/>
      <x:c r="F207" s="35"/>
      <x:c r="G207" s="35"/>
      <x:c r="H207" s="35" t="str">
        <x:f>IF(B207="","",IF(COUNTIFS($B$2:B207,B207,$C$2:C207,C207,$D$2:D207,D207)=1,E207-SUMIFS($G$2:$G$1001,$B$2:$B$1001,B207,$C$2:$C$1001,C207,$D$2:$D$1001,D207),0))</x:f>
      </x:c>
    </x:row>
    <x:row r="208" ht="24" customHeight="1">
      <x:c r="A208" s="34"/>
      <x:c r="B208" s="34"/>
      <x:c r="C208" s="34"/>
      <x:c r="D208" s="34"/>
      <x:c r="E208" s="35"/>
      <x:c r="F208" s="35"/>
      <x:c r="G208" s="35"/>
      <x:c r="H208" s="35" t="str">
        <x:f>IF(B208="","",IF(COUNTIFS($B$2:B208,B208,$C$2:C208,C208,$D$2:D208,D208)=1,E208-SUMIFS($G$2:$G$1001,$B$2:$B$1001,B208,$C$2:$C$1001,C208,$D$2:$D$1001,D208),0))</x:f>
      </x:c>
    </x:row>
    <x:row r="209" ht="24" customHeight="1">
      <x:c r="A209" s="34"/>
      <x:c r="B209" s="34"/>
      <x:c r="C209" s="34"/>
      <x:c r="D209" s="34"/>
      <x:c r="E209" s="35"/>
      <x:c r="F209" s="35"/>
      <x:c r="G209" s="35"/>
      <x:c r="H209" s="35" t="str">
        <x:f>IF(B209="","",IF(COUNTIFS($B$2:B209,B209,$C$2:C209,C209,$D$2:D209,D209)=1,E209-SUMIFS($G$2:$G$1001,$B$2:$B$1001,B209,$C$2:$C$1001,C209,$D$2:$D$1001,D209),0))</x:f>
      </x:c>
    </x:row>
    <x:row r="210" ht="24" customHeight="1">
      <x:c r="A210" s="34"/>
      <x:c r="B210" s="34"/>
      <x:c r="C210" s="34"/>
      <x:c r="D210" s="34"/>
      <x:c r="E210" s="35"/>
      <x:c r="F210" s="35"/>
      <x:c r="G210" s="35"/>
      <x:c r="H210" s="35" t="str">
        <x:f>IF(B210="","",IF(COUNTIFS($B$2:B210,B210,$C$2:C210,C210,$D$2:D210,D210)=1,E210-SUMIFS($G$2:$G$1001,$B$2:$B$1001,B210,$C$2:$C$1001,C210,$D$2:$D$1001,D210),0))</x:f>
      </x:c>
    </x:row>
    <x:row r="211" ht="24" customHeight="1">
      <x:c r="A211" s="34"/>
      <x:c r="B211" s="34"/>
      <x:c r="C211" s="34"/>
      <x:c r="D211" s="34"/>
      <x:c r="E211" s="35"/>
      <x:c r="F211" s="35"/>
      <x:c r="G211" s="35"/>
      <x:c r="H211" s="35" t="str">
        <x:f>IF(B211="","",IF(COUNTIFS($B$2:B211,B211,$C$2:C211,C211,$D$2:D211,D211)=1,E211-SUMIFS($G$2:$G$1001,$B$2:$B$1001,B211,$C$2:$C$1001,C211,$D$2:$D$1001,D211),0))</x:f>
      </x:c>
    </x:row>
    <x:row r="212" ht="24" customHeight="1">
      <x:c r="A212" s="34"/>
      <x:c r="B212" s="34"/>
      <x:c r="C212" s="34"/>
      <x:c r="D212" s="34"/>
      <x:c r="E212" s="35"/>
      <x:c r="F212" s="35"/>
      <x:c r="G212" s="35"/>
      <x:c r="H212" s="35" t="str">
        <x:f>IF(B212="","",IF(COUNTIFS($B$2:B212,B212,$C$2:C212,C212,$D$2:D212,D212)=1,E212-SUMIFS($G$2:$G$1001,$B$2:$B$1001,B212,$C$2:$C$1001,C212,$D$2:$D$1001,D212),0))</x:f>
      </x:c>
    </x:row>
    <x:row r="213" ht="24" customHeight="1">
      <x:c r="A213" s="34"/>
      <x:c r="B213" s="34"/>
      <x:c r="C213" s="34"/>
      <x:c r="D213" s="34"/>
      <x:c r="E213" s="35"/>
      <x:c r="F213" s="35"/>
      <x:c r="G213" s="35"/>
      <x:c r="H213" s="35" t="str">
        <x:f>IF(B213="","",IF(COUNTIFS($B$2:B213,B213,$C$2:C213,C213,$D$2:D213,D213)=1,E213-SUMIFS($G$2:$G$1001,$B$2:$B$1001,B213,$C$2:$C$1001,C213,$D$2:$D$1001,D213),0))</x:f>
      </x:c>
    </x:row>
    <x:row r="214" ht="24" customHeight="1">
      <x:c r="A214" s="34"/>
      <x:c r="B214" s="34"/>
      <x:c r="C214" s="34"/>
      <x:c r="D214" s="34"/>
      <x:c r="E214" s="35"/>
      <x:c r="F214" s="35"/>
      <x:c r="G214" s="35"/>
      <x:c r="H214" s="35" t="str">
        <x:f>IF(B214="","",IF(COUNTIFS($B$2:B214,B214,$C$2:C214,C214,$D$2:D214,D214)=1,E214-SUMIFS($G$2:$G$1001,$B$2:$B$1001,B214,$C$2:$C$1001,C214,$D$2:$D$1001,D214),0))</x:f>
      </x:c>
    </x:row>
    <x:row r="215" ht="24" customHeight="1">
      <x:c r="A215" s="34"/>
      <x:c r="B215" s="34"/>
      <x:c r="C215" s="34"/>
      <x:c r="D215" s="34"/>
      <x:c r="E215" s="35"/>
      <x:c r="F215" s="35"/>
      <x:c r="G215" s="35"/>
      <x:c r="H215" s="35" t="str">
        <x:f>IF(B215="","",IF(COUNTIFS($B$2:B215,B215,$C$2:C215,C215,$D$2:D215,D215)=1,E215-SUMIFS($G$2:$G$1001,$B$2:$B$1001,B215,$C$2:$C$1001,C215,$D$2:$D$1001,D215),0))</x:f>
      </x:c>
    </x:row>
    <x:row r="216" ht="24" customHeight="1">
      <x:c r="A216" s="34"/>
      <x:c r="B216" s="34"/>
      <x:c r="C216" s="34"/>
      <x:c r="D216" s="34"/>
      <x:c r="E216" s="35"/>
      <x:c r="F216" s="35"/>
      <x:c r="G216" s="35"/>
      <x:c r="H216" s="35" t="str">
        <x:f>IF(B216="","",IF(COUNTIFS($B$2:B216,B216,$C$2:C216,C216,$D$2:D216,D216)=1,E216-SUMIFS($G$2:$G$1001,$B$2:$B$1001,B216,$C$2:$C$1001,C216,$D$2:$D$1001,D216),0))</x:f>
      </x:c>
    </x:row>
    <x:row r="217" ht="24" customHeight="1">
      <x:c r="A217" s="34"/>
      <x:c r="B217" s="34"/>
      <x:c r="C217" s="34"/>
      <x:c r="D217" s="34"/>
      <x:c r="E217" s="35"/>
      <x:c r="F217" s="35"/>
      <x:c r="G217" s="35"/>
      <x:c r="H217" s="35" t="str">
        <x:f>IF(B217="","",IF(COUNTIFS($B$2:B217,B217,$C$2:C217,C217,$D$2:D217,D217)=1,E217-SUMIFS($G$2:$G$1001,$B$2:$B$1001,B217,$C$2:$C$1001,C217,$D$2:$D$1001,D217),0))</x:f>
      </x:c>
    </x:row>
    <x:row r="218" ht="24" customHeight="1">
      <x:c r="A218" s="34"/>
      <x:c r="B218" s="34"/>
      <x:c r="C218" s="34"/>
      <x:c r="D218" s="34"/>
      <x:c r="E218" s="35"/>
      <x:c r="F218" s="35"/>
      <x:c r="G218" s="35"/>
      <x:c r="H218" s="35" t="str">
        <x:f>IF(B218="","",IF(COUNTIFS($B$2:B218,B218,$C$2:C218,C218,$D$2:D218,D218)=1,E218-SUMIFS($G$2:$G$1001,$B$2:$B$1001,B218,$C$2:$C$1001,C218,$D$2:$D$1001,D218),0))</x:f>
      </x:c>
    </x:row>
    <x:row r="219" ht="24" customHeight="1">
      <x:c r="A219" s="34"/>
      <x:c r="B219" s="34"/>
      <x:c r="C219" s="34"/>
      <x:c r="D219" s="34"/>
      <x:c r="E219" s="35"/>
      <x:c r="F219" s="35"/>
      <x:c r="G219" s="35"/>
      <x:c r="H219" s="35" t="str">
        <x:f>IF(B219="","",IF(COUNTIFS($B$2:B219,B219,$C$2:C219,C219,$D$2:D219,D219)=1,E219-SUMIFS($G$2:$G$1001,$B$2:$B$1001,B219,$C$2:$C$1001,C219,$D$2:$D$1001,D219),0))</x:f>
      </x:c>
    </x:row>
    <x:row r="220" ht="24" customHeight="1">
      <x:c r="A220" s="34"/>
      <x:c r="B220" s="34"/>
      <x:c r="C220" s="34"/>
      <x:c r="D220" s="34"/>
      <x:c r="E220" s="35"/>
      <x:c r="F220" s="35"/>
      <x:c r="G220" s="35"/>
      <x:c r="H220" s="35" t="str">
        <x:f>IF(B220="","",IF(COUNTIFS($B$2:B220,B220,$C$2:C220,C220,$D$2:D220,D220)=1,E220-SUMIFS($G$2:$G$1001,$B$2:$B$1001,B220,$C$2:$C$1001,C220,$D$2:$D$1001,D220),0))</x:f>
      </x:c>
    </x:row>
    <x:row r="221" ht="24" customHeight="1">
      <x:c r="A221" s="34"/>
      <x:c r="B221" s="34"/>
      <x:c r="C221" s="34"/>
      <x:c r="D221" s="34"/>
      <x:c r="E221" s="35"/>
      <x:c r="F221" s="35"/>
      <x:c r="G221" s="35"/>
      <x:c r="H221" s="35" t="str">
        <x:f>IF(B221="","",IF(COUNTIFS($B$2:B221,B221,$C$2:C221,C221,$D$2:D221,D221)=1,E221-SUMIFS($G$2:$G$1001,$B$2:$B$1001,B221,$C$2:$C$1001,C221,$D$2:$D$1001,D221),0))</x:f>
      </x:c>
    </x:row>
    <x:row r="222" ht="24" customHeight="1">
      <x:c r="A222" s="34"/>
      <x:c r="B222" s="34"/>
      <x:c r="C222" s="34"/>
      <x:c r="D222" s="34"/>
      <x:c r="E222" s="35"/>
      <x:c r="F222" s="35"/>
      <x:c r="G222" s="35"/>
      <x:c r="H222" s="35" t="str">
        <x:f>IF(B222="","",IF(COUNTIFS($B$2:B222,B222,$C$2:C222,C222,$D$2:D222,D222)=1,E222-SUMIFS($G$2:$G$1001,$B$2:$B$1001,B222,$C$2:$C$1001,C222,$D$2:$D$1001,D222),0))</x:f>
      </x:c>
    </x:row>
    <x:row r="223" ht="24" customHeight="1">
      <x:c r="A223" s="34"/>
      <x:c r="B223" s="34"/>
      <x:c r="C223" s="34"/>
      <x:c r="D223" s="34"/>
      <x:c r="E223" s="35"/>
      <x:c r="F223" s="35"/>
      <x:c r="G223" s="35"/>
      <x:c r="H223" s="35" t="str">
        <x:f>IF(B223="","",IF(COUNTIFS($B$2:B223,B223,$C$2:C223,C223,$D$2:D223,D223)=1,E223-SUMIFS($G$2:$G$1001,$B$2:$B$1001,B223,$C$2:$C$1001,C223,$D$2:$D$1001,D223),0))</x:f>
      </x:c>
    </x:row>
    <x:row r="224" ht="24" customHeight="1">
      <x:c r="A224" s="34"/>
      <x:c r="B224" s="34"/>
      <x:c r="C224" s="34"/>
      <x:c r="D224" s="34"/>
      <x:c r="E224" s="35"/>
      <x:c r="F224" s="35"/>
      <x:c r="G224" s="35"/>
      <x:c r="H224" s="35" t="str">
        <x:f>IF(B224="","",IF(COUNTIFS($B$2:B224,B224,$C$2:C224,C224,$D$2:D224,D224)=1,E224-SUMIFS($G$2:$G$1001,$B$2:$B$1001,B224,$C$2:$C$1001,C224,$D$2:$D$1001,D224),0))</x:f>
      </x:c>
    </x:row>
    <x:row r="225" ht="24" customHeight="1">
      <x:c r="A225" s="34"/>
      <x:c r="B225" s="34"/>
      <x:c r="C225" s="34"/>
      <x:c r="D225" s="34"/>
      <x:c r="E225" s="35"/>
      <x:c r="F225" s="35"/>
      <x:c r="G225" s="35"/>
      <x:c r="H225" s="35" t="str">
        <x:f>IF(B225="","",IF(COUNTIFS($B$2:B225,B225,$C$2:C225,C225,$D$2:D225,D225)=1,E225-SUMIFS($G$2:$G$1001,$B$2:$B$1001,B225,$C$2:$C$1001,C225,$D$2:$D$1001,D225),0))</x:f>
      </x:c>
    </x:row>
    <x:row r="226" ht="24" customHeight="1">
      <x:c r="A226" s="34"/>
      <x:c r="B226" s="34"/>
      <x:c r="C226" s="34"/>
      <x:c r="D226" s="34"/>
      <x:c r="E226" s="35"/>
      <x:c r="F226" s="35"/>
      <x:c r="G226" s="35"/>
      <x:c r="H226" s="35" t="str">
        <x:f>IF(B226="","",IF(COUNTIFS($B$2:B226,B226,$C$2:C226,C226,$D$2:D226,D226)=1,E226-SUMIFS($G$2:$G$1001,$B$2:$B$1001,B226,$C$2:$C$1001,C226,$D$2:$D$1001,D226),0))</x:f>
      </x:c>
    </x:row>
    <x:row r="227" ht="24" customHeight="1">
      <x:c r="A227" s="34"/>
      <x:c r="B227" s="34"/>
      <x:c r="C227" s="34"/>
      <x:c r="D227" s="34"/>
      <x:c r="E227" s="35"/>
      <x:c r="F227" s="35"/>
      <x:c r="G227" s="35"/>
      <x:c r="H227" s="35" t="str">
        <x:f>IF(B227="","",IF(COUNTIFS($B$2:B227,B227,$C$2:C227,C227,$D$2:D227,D227)=1,E227-SUMIFS($G$2:$G$1001,$B$2:$B$1001,B227,$C$2:$C$1001,C227,$D$2:$D$1001,D227),0))</x:f>
      </x:c>
    </x:row>
    <x:row r="228" ht="24" customHeight="1">
      <x:c r="A228" s="34"/>
      <x:c r="B228" s="34"/>
      <x:c r="C228" s="34"/>
      <x:c r="D228" s="34"/>
      <x:c r="E228" s="35"/>
      <x:c r="F228" s="35"/>
      <x:c r="G228" s="35"/>
      <x:c r="H228" s="35" t="str">
        <x:f>IF(B228="","",IF(COUNTIFS($B$2:B228,B228,$C$2:C228,C228,$D$2:D228,D228)=1,E228-SUMIFS($G$2:$G$1001,$B$2:$B$1001,B228,$C$2:$C$1001,C228,$D$2:$D$1001,D228),0))</x:f>
      </x:c>
    </x:row>
    <x:row r="229" ht="24" customHeight="1">
      <x:c r="A229" s="34"/>
      <x:c r="B229" s="34"/>
      <x:c r="C229" s="34"/>
      <x:c r="D229" s="34"/>
      <x:c r="E229" s="35"/>
      <x:c r="F229" s="35"/>
      <x:c r="G229" s="35"/>
      <x:c r="H229" s="35" t="str">
        <x:f>IF(B229="","",IF(COUNTIFS($B$2:B229,B229,$C$2:C229,C229,$D$2:D229,D229)=1,E229-SUMIFS($G$2:$G$1001,$B$2:$B$1001,B229,$C$2:$C$1001,C229,$D$2:$D$1001,D229),0))</x:f>
      </x:c>
    </x:row>
    <x:row r="230" ht="24" customHeight="1">
      <x:c r="A230" s="34"/>
      <x:c r="B230" s="34"/>
      <x:c r="C230" s="34"/>
      <x:c r="D230" s="34"/>
      <x:c r="E230" s="35"/>
      <x:c r="F230" s="35"/>
      <x:c r="G230" s="35"/>
      <x:c r="H230" s="35" t="str">
        <x:f>IF(B230="","",IF(COUNTIFS($B$2:B230,B230,$C$2:C230,C230,$D$2:D230,D230)=1,E230-SUMIFS($G$2:$G$1001,$B$2:$B$1001,B230,$C$2:$C$1001,C230,$D$2:$D$1001,D230),0))</x:f>
      </x:c>
    </x:row>
    <x:row r="231" ht="24" customHeight="1">
      <x:c r="A231" s="34"/>
      <x:c r="B231" s="34"/>
      <x:c r="C231" s="34"/>
      <x:c r="D231" s="34"/>
      <x:c r="E231" s="35"/>
      <x:c r="F231" s="35"/>
      <x:c r="G231" s="35"/>
      <x:c r="H231" s="35" t="str">
        <x:f>IF(B231="","",IF(COUNTIFS($B$2:B231,B231,$C$2:C231,C231,$D$2:D231,D231)=1,E231-SUMIFS($G$2:$G$1001,$B$2:$B$1001,B231,$C$2:$C$1001,C231,$D$2:$D$1001,D231),0))</x:f>
      </x:c>
    </x:row>
    <x:row r="232" ht="24" customHeight="1">
      <x:c r="A232" s="34"/>
      <x:c r="B232" s="34"/>
      <x:c r="C232" s="34"/>
      <x:c r="D232" s="34"/>
      <x:c r="E232" s="35"/>
      <x:c r="F232" s="35"/>
      <x:c r="G232" s="35"/>
      <x:c r="H232" s="35" t="str">
        <x:f>IF(B232="","",IF(COUNTIFS($B$2:B232,B232,$C$2:C232,C232,$D$2:D232,D232)=1,E232-SUMIFS($G$2:$G$1001,$B$2:$B$1001,B232,$C$2:$C$1001,C232,$D$2:$D$1001,D232),0))</x:f>
      </x:c>
    </x:row>
    <x:row r="233" ht="24" customHeight="1">
      <x:c r="A233" s="34"/>
      <x:c r="B233" s="34"/>
      <x:c r="C233" s="34"/>
      <x:c r="D233" s="34"/>
      <x:c r="E233" s="35"/>
      <x:c r="F233" s="35"/>
      <x:c r="G233" s="35"/>
      <x:c r="H233" s="35" t="str">
        <x:f>IF(B233="","",IF(COUNTIFS($B$2:B233,B233,$C$2:C233,C233,$D$2:D233,D233)=1,E233-SUMIFS($G$2:$G$1001,$B$2:$B$1001,B233,$C$2:$C$1001,C233,$D$2:$D$1001,D233),0))</x:f>
      </x:c>
    </x:row>
    <x:row r="234" ht="24" customHeight="1">
      <x:c r="A234" s="34"/>
      <x:c r="B234" s="34"/>
      <x:c r="C234" s="34"/>
      <x:c r="D234" s="34"/>
      <x:c r="E234" s="35"/>
      <x:c r="F234" s="35"/>
      <x:c r="G234" s="35"/>
      <x:c r="H234" s="35" t="str">
        <x:f>IF(B234="","",IF(COUNTIFS($B$2:B234,B234,$C$2:C234,C234,$D$2:D234,D234)=1,E234-SUMIFS($G$2:$G$1001,$B$2:$B$1001,B234,$C$2:$C$1001,C234,$D$2:$D$1001,D234),0))</x:f>
      </x:c>
    </x:row>
    <x:row r="235" ht="24" customHeight="1">
      <x:c r="A235" s="34"/>
      <x:c r="B235" s="34"/>
      <x:c r="C235" s="34"/>
      <x:c r="D235" s="34"/>
      <x:c r="E235" s="35"/>
      <x:c r="F235" s="35"/>
      <x:c r="G235" s="35"/>
      <x:c r="H235" s="35" t="str">
        <x:f>IF(B235="","",IF(COUNTIFS($B$2:B235,B235,$C$2:C235,C235,$D$2:D235,D235)=1,E235-SUMIFS($G$2:$G$1001,$B$2:$B$1001,B235,$C$2:$C$1001,C235,$D$2:$D$1001,D235),0))</x:f>
      </x:c>
    </x:row>
    <x:row r="236" ht="24" customHeight="1">
      <x:c r="A236" s="34"/>
      <x:c r="B236" s="34"/>
      <x:c r="C236" s="34"/>
      <x:c r="D236" s="34"/>
      <x:c r="E236" s="35"/>
      <x:c r="F236" s="35"/>
      <x:c r="G236" s="35"/>
      <x:c r="H236" s="35" t="str">
        <x:f>IF(B236="","",IF(COUNTIFS($B$2:B236,B236,$C$2:C236,C236,$D$2:D236,D236)=1,E236-SUMIFS($G$2:$G$1001,$B$2:$B$1001,B236,$C$2:$C$1001,C236,$D$2:$D$1001,D236),0))</x:f>
      </x:c>
    </x:row>
    <x:row r="237" ht="24" customHeight="1">
      <x:c r="A237" s="34"/>
      <x:c r="B237" s="34"/>
      <x:c r="C237" s="34"/>
      <x:c r="D237" s="34"/>
      <x:c r="E237" s="35"/>
      <x:c r="F237" s="35"/>
      <x:c r="G237" s="35"/>
      <x:c r="H237" s="35" t="str">
        <x:f>IF(B237="","",IF(COUNTIFS($B$2:B237,B237,$C$2:C237,C237,$D$2:D237,D237)=1,E237-SUMIFS($G$2:$G$1001,$B$2:$B$1001,B237,$C$2:$C$1001,C237,$D$2:$D$1001,D237),0))</x:f>
      </x:c>
    </x:row>
    <x:row r="238" ht="24" customHeight="1">
      <x:c r="A238" s="34"/>
      <x:c r="B238" s="34"/>
      <x:c r="C238" s="34"/>
      <x:c r="D238" s="34"/>
      <x:c r="E238" s="35"/>
      <x:c r="F238" s="35"/>
      <x:c r="G238" s="35"/>
      <x:c r="H238" s="35" t="str">
        <x:f>IF(B238="","",IF(COUNTIFS($B$2:B238,B238,$C$2:C238,C238,$D$2:D238,D238)=1,E238-SUMIFS($G$2:$G$1001,$B$2:$B$1001,B238,$C$2:$C$1001,C238,$D$2:$D$1001,D238),0))</x:f>
      </x:c>
    </x:row>
    <x:row r="239" ht="24" customHeight="1">
      <x:c r="A239" s="34"/>
      <x:c r="B239" s="34"/>
      <x:c r="C239" s="34"/>
      <x:c r="D239" s="34"/>
      <x:c r="E239" s="35"/>
      <x:c r="F239" s="35"/>
      <x:c r="G239" s="35"/>
      <x:c r="H239" s="35" t="str">
        <x:f>IF(B239="","",IF(COUNTIFS($B$2:B239,B239,$C$2:C239,C239,$D$2:D239,D239)=1,E239-SUMIFS($G$2:$G$1001,$B$2:$B$1001,B239,$C$2:$C$1001,C239,$D$2:$D$1001,D239),0))</x:f>
      </x:c>
    </x:row>
    <x:row r="240" ht="24" customHeight="1">
      <x:c r="A240" s="34"/>
      <x:c r="B240" s="34"/>
      <x:c r="C240" s="34"/>
      <x:c r="D240" s="34"/>
      <x:c r="E240" s="35"/>
      <x:c r="F240" s="35"/>
      <x:c r="G240" s="35"/>
      <x:c r="H240" s="35" t="str">
        <x:f>IF(B240="","",IF(COUNTIFS($B$2:B240,B240,$C$2:C240,C240,$D$2:D240,D240)=1,E240-SUMIFS($G$2:$G$1001,$B$2:$B$1001,B240,$C$2:$C$1001,C240,$D$2:$D$1001,D240),0))</x:f>
      </x:c>
    </x:row>
    <x:row r="241" ht="24" customHeight="1">
      <x:c r="A241" s="34"/>
      <x:c r="B241" s="34"/>
      <x:c r="C241" s="34"/>
      <x:c r="D241" s="34"/>
      <x:c r="E241" s="35"/>
      <x:c r="F241" s="35"/>
      <x:c r="G241" s="35"/>
      <x:c r="H241" s="35" t="str">
        <x:f>IF(B241="","",IF(COUNTIFS($B$2:B241,B241,$C$2:C241,C241,$D$2:D241,D241)=1,E241-SUMIFS($G$2:$G$1001,$B$2:$B$1001,B241,$C$2:$C$1001,C241,$D$2:$D$1001,D241),0))</x:f>
      </x:c>
    </x:row>
    <x:row r="242" ht="24" customHeight="1">
      <x:c r="A242" s="34"/>
      <x:c r="B242" s="34"/>
      <x:c r="C242" s="34"/>
      <x:c r="D242" s="34"/>
      <x:c r="E242" s="35"/>
      <x:c r="F242" s="35"/>
      <x:c r="G242" s="35"/>
      <x:c r="H242" s="35" t="str">
        <x:f>IF(B242="","",IF(COUNTIFS($B$2:B242,B242,$C$2:C242,C242,$D$2:D242,D242)=1,E242-SUMIFS($G$2:$G$1001,$B$2:$B$1001,B242,$C$2:$C$1001,C242,$D$2:$D$1001,D242),0))</x:f>
      </x:c>
    </x:row>
    <x:row r="243" ht="24" customHeight="1">
      <x:c r="A243" s="34"/>
      <x:c r="B243" s="34"/>
      <x:c r="C243" s="34"/>
      <x:c r="D243" s="34"/>
      <x:c r="E243" s="35"/>
      <x:c r="F243" s="35"/>
      <x:c r="G243" s="35"/>
      <x:c r="H243" s="35" t="str">
        <x:f>IF(B243="","",IF(COUNTIFS($B$2:B243,B243,$C$2:C243,C243,$D$2:D243,D243)=1,E243-SUMIFS($G$2:$G$1001,$B$2:$B$1001,B243,$C$2:$C$1001,C243,$D$2:$D$1001,D243),0))</x:f>
      </x:c>
    </x:row>
    <x:row r="244" ht="24" customHeight="1">
      <x:c r="A244" s="34"/>
      <x:c r="B244" s="34"/>
      <x:c r="C244" s="34"/>
      <x:c r="D244" s="34"/>
      <x:c r="E244" s="35"/>
      <x:c r="F244" s="35"/>
      <x:c r="G244" s="35"/>
      <x:c r="H244" s="35" t="str">
        <x:f>IF(B244="","",IF(COUNTIFS($B$2:B244,B244,$C$2:C244,C244,$D$2:D244,D244)=1,E244-SUMIFS($G$2:$G$1001,$B$2:$B$1001,B244,$C$2:$C$1001,C244,$D$2:$D$1001,D244),0))</x:f>
      </x:c>
    </x:row>
    <x:row r="245" ht="24" customHeight="1">
      <x:c r="A245" s="34"/>
      <x:c r="B245" s="34"/>
      <x:c r="C245" s="34"/>
      <x:c r="D245" s="34"/>
      <x:c r="E245" s="35"/>
      <x:c r="F245" s="35"/>
      <x:c r="G245" s="35"/>
      <x:c r="H245" s="35" t="str">
        <x:f>IF(B245="","",IF(COUNTIFS($B$2:B245,B245,$C$2:C245,C245,$D$2:D245,D245)=1,E245-SUMIFS($G$2:$G$1001,$B$2:$B$1001,B245,$C$2:$C$1001,C245,$D$2:$D$1001,D245),0))</x:f>
      </x:c>
    </x:row>
    <x:row r="246" ht="24" customHeight="1">
      <x:c r="A246" s="34"/>
      <x:c r="B246" s="34"/>
      <x:c r="C246" s="34"/>
      <x:c r="D246" s="34"/>
      <x:c r="E246" s="35"/>
      <x:c r="F246" s="35"/>
      <x:c r="G246" s="35"/>
      <x:c r="H246" s="35" t="str">
        <x:f>IF(B246="","",IF(COUNTIFS($B$2:B246,B246,$C$2:C246,C246,$D$2:D246,D246)=1,E246-SUMIFS($G$2:$G$1001,$B$2:$B$1001,B246,$C$2:$C$1001,C246,$D$2:$D$1001,D246),0))</x:f>
      </x:c>
    </x:row>
    <x:row r="247" ht="24" customHeight="1">
      <x:c r="A247" s="34"/>
      <x:c r="B247" s="34"/>
      <x:c r="C247" s="34"/>
      <x:c r="D247" s="34"/>
      <x:c r="E247" s="35"/>
      <x:c r="F247" s="35"/>
      <x:c r="G247" s="35"/>
      <x:c r="H247" s="35" t="str">
        <x:f>IF(B247="","",IF(COUNTIFS($B$2:B247,B247,$C$2:C247,C247,$D$2:D247,D247)=1,E247-SUMIFS($G$2:$G$1001,$B$2:$B$1001,B247,$C$2:$C$1001,C247,$D$2:$D$1001,D247),0))</x:f>
      </x:c>
    </x:row>
    <x:row r="248" ht="24" customHeight="1">
      <x:c r="A248" s="34"/>
      <x:c r="B248" s="34"/>
      <x:c r="C248" s="34"/>
      <x:c r="D248" s="34"/>
      <x:c r="E248" s="35"/>
      <x:c r="F248" s="35"/>
      <x:c r="G248" s="35"/>
      <x:c r="H248" s="35" t="str">
        <x:f>IF(B248="","",IF(COUNTIFS($B$2:B248,B248,$C$2:C248,C248,$D$2:D248,D248)=1,E248-SUMIFS($G$2:$G$1001,$B$2:$B$1001,B248,$C$2:$C$1001,C248,$D$2:$D$1001,D248),0))</x:f>
      </x:c>
    </x:row>
    <x:row r="249" ht="24" customHeight="1">
      <x:c r="A249" s="34"/>
      <x:c r="B249" s="34"/>
      <x:c r="C249" s="34"/>
      <x:c r="D249" s="34"/>
      <x:c r="E249" s="35"/>
      <x:c r="F249" s="35"/>
      <x:c r="G249" s="35"/>
      <x:c r="H249" s="35" t="str">
        <x:f>IF(B249="","",IF(COUNTIFS($B$2:B249,B249,$C$2:C249,C249,$D$2:D249,D249)=1,E249-SUMIFS($G$2:$G$1001,$B$2:$B$1001,B249,$C$2:$C$1001,C249,$D$2:$D$1001,D249),0))</x:f>
      </x:c>
    </x:row>
    <x:row r="250" ht="24" customHeight="1">
      <x:c r="A250" s="34"/>
      <x:c r="B250" s="34"/>
      <x:c r="C250" s="34"/>
      <x:c r="D250" s="34"/>
      <x:c r="E250" s="35"/>
      <x:c r="F250" s="35"/>
      <x:c r="G250" s="35"/>
      <x:c r="H250" s="35" t="str">
        <x:f>IF(B250="","",IF(COUNTIFS($B$2:B250,B250,$C$2:C250,C250,$D$2:D250,D250)=1,E250-SUMIFS($G$2:$G$1001,$B$2:$B$1001,B250,$C$2:$C$1001,C250,$D$2:$D$1001,D250),0))</x:f>
      </x:c>
    </x:row>
    <x:row r="251" ht="24" customHeight="1">
      <x:c r="A251" s="34"/>
      <x:c r="B251" s="34"/>
      <x:c r="C251" s="34"/>
      <x:c r="D251" s="34"/>
      <x:c r="E251" s="35"/>
      <x:c r="F251" s="35"/>
      <x:c r="G251" s="35"/>
      <x:c r="H251" s="35" t="str">
        <x:f>IF(B251="","",IF(COUNTIFS($B$2:B251,B251,$C$2:C251,C251,$D$2:D251,D251)=1,E251-SUMIFS($G$2:$G$1001,$B$2:$B$1001,B251,$C$2:$C$1001,C251,$D$2:$D$1001,D251),0))</x:f>
      </x:c>
    </x:row>
    <x:row r="252" ht="24" customHeight="1">
      <x:c r="A252" s="34"/>
      <x:c r="B252" s="34"/>
      <x:c r="C252" s="34"/>
      <x:c r="D252" s="34"/>
      <x:c r="E252" s="35"/>
      <x:c r="F252" s="35"/>
      <x:c r="G252" s="35"/>
      <x:c r="H252" s="35" t="str">
        <x:f>IF(B252="","",IF(COUNTIFS($B$2:B252,B252,$C$2:C252,C252,$D$2:D252,D252)=1,E252-SUMIFS($G$2:$G$1001,$B$2:$B$1001,B252,$C$2:$C$1001,C252,$D$2:$D$1001,D252),0))</x:f>
      </x:c>
    </x:row>
    <x:row r="253" ht="24" customHeight="1">
      <x:c r="A253" s="34"/>
      <x:c r="B253" s="34"/>
      <x:c r="C253" s="34"/>
      <x:c r="D253" s="34"/>
      <x:c r="E253" s="35"/>
      <x:c r="F253" s="35"/>
      <x:c r="G253" s="35"/>
      <x:c r="H253" s="35" t="str">
        <x:f>IF(B253="","",IF(COUNTIFS($B$2:B253,B253,$C$2:C253,C253,$D$2:D253,D253)=1,E253-SUMIFS($G$2:$G$1001,$B$2:$B$1001,B253,$C$2:$C$1001,C253,$D$2:$D$1001,D253),0))</x:f>
      </x:c>
    </x:row>
    <x:row r="254" ht="24" customHeight="1">
      <x:c r="A254" s="34"/>
      <x:c r="B254" s="34"/>
      <x:c r="C254" s="34"/>
      <x:c r="D254" s="34"/>
      <x:c r="E254" s="35"/>
      <x:c r="F254" s="35"/>
      <x:c r="G254" s="35"/>
      <x:c r="H254" s="35" t="str">
        <x:f>IF(B254="","",IF(COUNTIFS($B$2:B254,B254,$C$2:C254,C254,$D$2:D254,D254)=1,E254-SUMIFS($G$2:$G$1001,$B$2:$B$1001,B254,$C$2:$C$1001,C254,$D$2:$D$1001,D254),0))</x:f>
      </x:c>
    </x:row>
    <x:row r="255" ht="24" customHeight="1">
      <x:c r="A255" s="34"/>
      <x:c r="B255" s="34"/>
      <x:c r="C255" s="34"/>
      <x:c r="D255" s="34"/>
      <x:c r="E255" s="35"/>
      <x:c r="F255" s="35"/>
      <x:c r="G255" s="35"/>
      <x:c r="H255" s="35" t="str">
        <x:f>IF(B255="","",IF(COUNTIFS($B$2:B255,B255,$C$2:C255,C255,$D$2:D255,D255)=1,E255-SUMIFS($G$2:$G$1001,$B$2:$B$1001,B255,$C$2:$C$1001,C255,$D$2:$D$1001,D255),0))</x:f>
      </x:c>
    </x:row>
    <x:row r="256" ht="24" customHeight="1">
      <x:c r="A256" s="34"/>
      <x:c r="B256" s="34"/>
      <x:c r="C256" s="34"/>
      <x:c r="D256" s="34"/>
      <x:c r="E256" s="35"/>
      <x:c r="F256" s="35"/>
      <x:c r="G256" s="35"/>
      <x:c r="H256" s="35" t="str">
        <x:f>IF(B256="","",IF(COUNTIFS($B$2:B256,B256,$C$2:C256,C256,$D$2:D256,D256)=1,E256-SUMIFS($G$2:$G$1001,$B$2:$B$1001,B256,$C$2:$C$1001,C256,$D$2:$D$1001,D256),0))</x:f>
      </x:c>
    </x:row>
    <x:row r="257" ht="24" customHeight="1">
      <x:c r="A257" s="34"/>
      <x:c r="B257" s="34"/>
      <x:c r="C257" s="34"/>
      <x:c r="D257" s="34"/>
      <x:c r="E257" s="35"/>
      <x:c r="F257" s="35"/>
      <x:c r="G257" s="35"/>
      <x:c r="H257" s="35" t="str">
        <x:f>IF(B257="","",IF(COUNTIFS($B$2:B257,B257,$C$2:C257,C257,$D$2:D257,D257)=1,E257-SUMIFS($G$2:$G$1001,$B$2:$B$1001,B257,$C$2:$C$1001,C257,$D$2:$D$1001,D257),0))</x:f>
      </x:c>
    </x:row>
    <x:row r="258" ht="24" customHeight="1">
      <x:c r="A258" s="34"/>
      <x:c r="B258" s="34"/>
      <x:c r="C258" s="34"/>
      <x:c r="D258" s="34"/>
      <x:c r="E258" s="35"/>
      <x:c r="F258" s="35"/>
      <x:c r="G258" s="35"/>
      <x:c r="H258" s="35" t="str">
        <x:f>IF(B258="","",IF(COUNTIFS($B$2:B258,B258,$C$2:C258,C258,$D$2:D258,D258)=1,E258-SUMIFS($G$2:$G$1001,$B$2:$B$1001,B258,$C$2:$C$1001,C258,$D$2:$D$1001,D258),0))</x:f>
      </x:c>
    </x:row>
    <x:row r="259" ht="24" customHeight="1">
      <x:c r="A259" s="34"/>
      <x:c r="B259" s="34"/>
      <x:c r="C259" s="34"/>
      <x:c r="D259" s="34"/>
      <x:c r="E259" s="35"/>
      <x:c r="F259" s="35"/>
      <x:c r="G259" s="35"/>
      <x:c r="H259" s="35" t="str">
        <x:f>IF(B259="","",IF(COUNTIFS($B$2:B259,B259,$C$2:C259,C259,$D$2:D259,D259)=1,E259-SUMIFS($G$2:$G$1001,$B$2:$B$1001,B259,$C$2:$C$1001,C259,$D$2:$D$1001,D259),0))</x:f>
      </x:c>
    </x:row>
    <x:row r="260" ht="24" customHeight="1">
      <x:c r="A260" s="34"/>
      <x:c r="B260" s="34"/>
      <x:c r="C260" s="34"/>
      <x:c r="D260" s="34"/>
      <x:c r="E260" s="35"/>
      <x:c r="F260" s="35"/>
      <x:c r="G260" s="35"/>
      <x:c r="H260" s="35" t="str">
        <x:f>IF(B260="","",IF(COUNTIFS($B$2:B260,B260,$C$2:C260,C260,$D$2:D260,D260)=1,E260-SUMIFS($G$2:$G$1001,$B$2:$B$1001,B260,$C$2:$C$1001,C260,$D$2:$D$1001,D260),0))</x:f>
      </x:c>
    </x:row>
    <x:row r="261" ht="24" customHeight="1">
      <x:c r="A261" s="34"/>
      <x:c r="B261" s="34"/>
      <x:c r="C261" s="34"/>
      <x:c r="D261" s="34"/>
      <x:c r="E261" s="35"/>
      <x:c r="F261" s="35"/>
      <x:c r="G261" s="35"/>
      <x:c r="H261" s="35" t="str">
        <x:f>IF(B261="","",IF(COUNTIFS($B$2:B261,B261,$C$2:C261,C261,$D$2:D261,D261)=1,E261-SUMIFS($G$2:$G$1001,$B$2:$B$1001,B261,$C$2:$C$1001,C261,$D$2:$D$1001,D261),0))</x:f>
      </x:c>
    </x:row>
    <x:row r="262" ht="24" customHeight="1">
      <x:c r="A262" s="34"/>
      <x:c r="B262" s="34"/>
      <x:c r="C262" s="34"/>
      <x:c r="D262" s="34"/>
      <x:c r="E262" s="35"/>
      <x:c r="F262" s="35"/>
      <x:c r="G262" s="35"/>
      <x:c r="H262" s="35" t="str">
        <x:f>IF(B262="","",IF(COUNTIFS($B$2:B262,B262,$C$2:C262,C262,$D$2:D262,D262)=1,E262-SUMIFS($G$2:$G$1001,$B$2:$B$1001,B262,$C$2:$C$1001,C262,$D$2:$D$1001,D262),0))</x:f>
      </x:c>
    </x:row>
    <x:row r="263" ht="24" customHeight="1">
      <x:c r="A263" s="34"/>
      <x:c r="B263" s="34"/>
      <x:c r="C263" s="34"/>
      <x:c r="D263" s="34"/>
      <x:c r="E263" s="35"/>
      <x:c r="F263" s="35"/>
      <x:c r="G263" s="35"/>
      <x:c r="H263" s="35" t="str">
        <x:f>IF(B263="","",IF(COUNTIFS($B$2:B263,B263,$C$2:C263,C263,$D$2:D263,D263)=1,E263-SUMIFS($G$2:$G$1001,$B$2:$B$1001,B263,$C$2:$C$1001,C263,$D$2:$D$1001,D263),0))</x:f>
      </x:c>
    </x:row>
    <x:row r="264" ht="24" customHeight="1">
      <x:c r="A264" s="34"/>
      <x:c r="B264" s="34"/>
      <x:c r="C264" s="34"/>
      <x:c r="D264" s="34"/>
      <x:c r="E264" s="35"/>
      <x:c r="F264" s="35"/>
      <x:c r="G264" s="35"/>
      <x:c r="H264" s="35" t="str">
        <x:f>IF(B264="","",IF(COUNTIFS($B$2:B264,B264,$C$2:C264,C264,$D$2:D264,D264)=1,E264-SUMIFS($G$2:$G$1001,$B$2:$B$1001,B264,$C$2:$C$1001,C264,$D$2:$D$1001,D264),0))</x:f>
      </x:c>
    </x:row>
    <x:row r="265" ht="24" customHeight="1">
      <x:c r="A265" s="34"/>
      <x:c r="B265" s="34"/>
      <x:c r="C265" s="34"/>
      <x:c r="D265" s="34"/>
      <x:c r="E265" s="35"/>
      <x:c r="F265" s="35"/>
      <x:c r="G265" s="35"/>
      <x:c r="H265" s="35" t="str">
        <x:f>IF(B265="","",IF(COUNTIFS($B$2:B265,B265,$C$2:C265,C265,$D$2:D265,D265)=1,E265-SUMIFS($G$2:$G$1001,$B$2:$B$1001,B265,$C$2:$C$1001,C265,$D$2:$D$1001,D265),0))</x:f>
      </x:c>
    </x:row>
    <x:row r="266" ht="24" customHeight="1">
      <x:c r="A266" s="34"/>
      <x:c r="B266" s="34"/>
      <x:c r="C266" s="34"/>
      <x:c r="D266" s="34"/>
      <x:c r="E266" s="35"/>
      <x:c r="F266" s="35"/>
      <x:c r="G266" s="35"/>
      <x:c r="H266" s="35" t="str">
        <x:f>IF(B266="","",IF(COUNTIFS($B$2:B266,B266,$C$2:C266,C266,$D$2:D266,D266)=1,E266-SUMIFS($G$2:$G$1001,$B$2:$B$1001,B266,$C$2:$C$1001,C266,$D$2:$D$1001,D266),0))</x:f>
      </x:c>
    </x:row>
    <x:row r="267" ht="24" customHeight="1">
      <x:c r="A267" s="34"/>
      <x:c r="B267" s="34"/>
      <x:c r="C267" s="34"/>
      <x:c r="D267" s="34"/>
      <x:c r="E267" s="35"/>
      <x:c r="F267" s="35"/>
      <x:c r="G267" s="35"/>
      <x:c r="H267" s="35" t="str">
        <x:f>IF(B267="","",IF(COUNTIFS($B$2:B267,B267,$C$2:C267,C267,$D$2:D267,D267)=1,E267-SUMIFS($G$2:$G$1001,$B$2:$B$1001,B267,$C$2:$C$1001,C267,$D$2:$D$1001,D267),0))</x:f>
      </x:c>
    </x:row>
    <x:row r="268" ht="24" customHeight="1">
      <x:c r="A268" s="34"/>
      <x:c r="B268" s="34"/>
      <x:c r="C268" s="34"/>
      <x:c r="D268" s="34"/>
      <x:c r="E268" s="35"/>
      <x:c r="F268" s="35"/>
      <x:c r="G268" s="35"/>
      <x:c r="H268" s="35" t="str">
        <x:f>IF(B268="","",IF(COUNTIFS($B$2:B268,B268,$C$2:C268,C268,$D$2:D268,D268)=1,E268-SUMIFS($G$2:$G$1001,$B$2:$B$1001,B268,$C$2:$C$1001,C268,$D$2:$D$1001,D268),0))</x:f>
      </x:c>
    </x:row>
    <x:row r="269" ht="24" customHeight="1">
      <x:c r="A269" s="34"/>
      <x:c r="B269" s="34"/>
      <x:c r="C269" s="34"/>
      <x:c r="D269" s="34"/>
      <x:c r="E269" s="35"/>
      <x:c r="F269" s="35"/>
      <x:c r="G269" s="35"/>
      <x:c r="H269" s="35" t="str">
        <x:f>IF(B269="","",IF(COUNTIFS($B$2:B269,B269,$C$2:C269,C269,$D$2:D269,D269)=1,E269-SUMIFS($G$2:$G$1001,$B$2:$B$1001,B269,$C$2:$C$1001,C269,$D$2:$D$1001,D269),0))</x:f>
      </x:c>
    </x:row>
    <x:row r="270" ht="24" customHeight="1">
      <x:c r="A270" s="34"/>
      <x:c r="B270" s="34"/>
      <x:c r="C270" s="34"/>
      <x:c r="D270" s="34"/>
      <x:c r="E270" s="35"/>
      <x:c r="F270" s="35"/>
      <x:c r="G270" s="35"/>
      <x:c r="H270" s="35" t="str">
        <x:f>IF(B270="","",IF(COUNTIFS($B$2:B270,B270,$C$2:C270,C270,$D$2:D270,D270)=1,E270-SUMIFS($G$2:$G$1001,$B$2:$B$1001,B270,$C$2:$C$1001,C270,$D$2:$D$1001,D270),0))</x:f>
      </x:c>
    </x:row>
    <x:row r="271" ht="24" customHeight="1">
      <x:c r="A271" s="34"/>
      <x:c r="B271" s="34"/>
      <x:c r="C271" s="34"/>
      <x:c r="D271" s="34"/>
      <x:c r="E271" s="35"/>
      <x:c r="F271" s="35"/>
      <x:c r="G271" s="35"/>
      <x:c r="H271" s="35" t="str">
        <x:f>IF(B271="","",IF(COUNTIFS($B$2:B271,B271,$C$2:C271,C271,$D$2:D271,D271)=1,E271-SUMIFS($G$2:$G$1001,$B$2:$B$1001,B271,$C$2:$C$1001,C271,$D$2:$D$1001,D271),0))</x:f>
      </x:c>
    </x:row>
    <x:row r="272" ht="24" customHeight="1">
      <x:c r="A272" s="34"/>
      <x:c r="B272" s="34"/>
      <x:c r="C272" s="34"/>
      <x:c r="D272" s="34"/>
      <x:c r="E272" s="35"/>
      <x:c r="F272" s="35"/>
      <x:c r="G272" s="35"/>
      <x:c r="H272" s="35" t="str">
        <x:f>IF(B272="","",IF(COUNTIFS($B$2:B272,B272,$C$2:C272,C272,$D$2:D272,D272)=1,E272-SUMIFS($G$2:$G$1001,$B$2:$B$1001,B272,$C$2:$C$1001,C272,$D$2:$D$1001,D272),0))</x:f>
      </x:c>
    </x:row>
    <x:row r="273" ht="24" customHeight="1">
      <x:c r="A273" s="34"/>
      <x:c r="B273" s="34"/>
      <x:c r="C273" s="34"/>
      <x:c r="D273" s="34"/>
      <x:c r="E273" s="35"/>
      <x:c r="F273" s="35"/>
      <x:c r="G273" s="35"/>
      <x:c r="H273" s="35" t="str">
        <x:f>IF(B273="","",IF(COUNTIFS($B$2:B273,B273,$C$2:C273,C273,$D$2:D273,D273)=1,E273-SUMIFS($G$2:$G$1001,$B$2:$B$1001,B273,$C$2:$C$1001,C273,$D$2:$D$1001,D273),0))</x:f>
      </x:c>
    </x:row>
    <x:row r="274" ht="24" customHeight="1">
      <x:c r="A274" s="34"/>
      <x:c r="B274" s="34"/>
      <x:c r="C274" s="34"/>
      <x:c r="D274" s="34"/>
      <x:c r="E274" s="35"/>
      <x:c r="F274" s="35"/>
      <x:c r="G274" s="35"/>
      <x:c r="H274" s="35" t="str">
        <x:f>IF(B274="","",IF(COUNTIFS($B$2:B274,B274,$C$2:C274,C274,$D$2:D274,D274)=1,E274-SUMIFS($G$2:$G$1001,$B$2:$B$1001,B274,$C$2:$C$1001,C274,$D$2:$D$1001,D274),0))</x:f>
      </x:c>
    </x:row>
    <x:row r="275" ht="24" customHeight="1">
      <x:c r="A275" s="34"/>
      <x:c r="B275" s="34"/>
      <x:c r="C275" s="34"/>
      <x:c r="D275" s="34"/>
      <x:c r="E275" s="35"/>
      <x:c r="F275" s="35"/>
      <x:c r="G275" s="35"/>
      <x:c r="H275" s="35" t="str">
        <x:f>IF(B275="","",IF(COUNTIFS($B$2:B275,B275,$C$2:C275,C275,$D$2:D275,D275)=1,E275-SUMIFS($G$2:$G$1001,$B$2:$B$1001,B275,$C$2:$C$1001,C275,$D$2:$D$1001,D275),0))</x:f>
      </x:c>
    </x:row>
    <x:row r="276" ht="24" customHeight="1">
      <x:c r="A276" s="34"/>
      <x:c r="B276" s="34"/>
      <x:c r="C276" s="34"/>
      <x:c r="D276" s="34"/>
      <x:c r="E276" s="35"/>
      <x:c r="F276" s="35"/>
      <x:c r="G276" s="35"/>
      <x:c r="H276" s="35" t="str">
        <x:f>IF(B276="","",IF(COUNTIFS($B$2:B276,B276,$C$2:C276,C276,$D$2:D276,D276)=1,E276-SUMIFS($G$2:$G$1001,$B$2:$B$1001,B276,$C$2:$C$1001,C276,$D$2:$D$1001,D276),0))</x:f>
      </x:c>
    </x:row>
    <x:row r="277" ht="24" customHeight="1">
      <x:c r="A277" s="34"/>
      <x:c r="B277" s="34"/>
      <x:c r="C277" s="34"/>
      <x:c r="D277" s="34"/>
      <x:c r="E277" s="35"/>
      <x:c r="F277" s="35"/>
      <x:c r="G277" s="35"/>
      <x:c r="H277" s="35" t="str">
        <x:f>IF(B277="","",IF(COUNTIFS($B$2:B277,B277,$C$2:C277,C277,$D$2:D277,D277)=1,E277-SUMIFS($G$2:$G$1001,$B$2:$B$1001,B277,$C$2:$C$1001,C277,$D$2:$D$1001,D277),0))</x:f>
      </x:c>
    </x:row>
    <x:row r="278" ht="24" customHeight="1">
      <x:c r="A278" s="34"/>
      <x:c r="B278" s="34"/>
      <x:c r="C278" s="34"/>
      <x:c r="D278" s="34"/>
      <x:c r="E278" s="35"/>
      <x:c r="F278" s="35"/>
      <x:c r="G278" s="35"/>
      <x:c r="H278" s="35" t="str">
        <x:f>IF(B278="","",IF(COUNTIFS($B$2:B278,B278,$C$2:C278,C278,$D$2:D278,D278)=1,E278-SUMIFS($G$2:$G$1001,$B$2:$B$1001,B278,$C$2:$C$1001,C278,$D$2:$D$1001,D278),0))</x:f>
      </x:c>
    </x:row>
    <x:row r="279" ht="24" customHeight="1">
      <x:c r="A279" s="34"/>
      <x:c r="B279" s="34"/>
      <x:c r="C279" s="34"/>
      <x:c r="D279" s="34"/>
      <x:c r="E279" s="35"/>
      <x:c r="F279" s="35"/>
      <x:c r="G279" s="35"/>
      <x:c r="H279" s="35" t="str">
        <x:f>IF(B279="","",IF(COUNTIFS($B$2:B279,B279,$C$2:C279,C279,$D$2:D279,D279)=1,E279-SUMIFS($G$2:$G$1001,$B$2:$B$1001,B279,$C$2:$C$1001,C279,$D$2:$D$1001,D279),0))</x:f>
      </x:c>
    </x:row>
    <x:row r="280" ht="24" customHeight="1">
      <x:c r="A280" s="34"/>
      <x:c r="B280" s="34"/>
      <x:c r="C280" s="34"/>
      <x:c r="D280" s="34"/>
      <x:c r="E280" s="35"/>
      <x:c r="F280" s="35"/>
      <x:c r="G280" s="35"/>
      <x:c r="H280" s="35" t="str">
        <x:f>IF(B280="","",IF(COUNTIFS($B$2:B280,B280,$C$2:C280,C280,$D$2:D280,D280)=1,E280-SUMIFS($G$2:$G$1001,$B$2:$B$1001,B280,$C$2:$C$1001,C280,$D$2:$D$1001,D280),0))</x:f>
      </x:c>
    </x:row>
    <x:row r="281" ht="24" customHeight="1">
      <x:c r="A281" s="34"/>
      <x:c r="B281" s="34"/>
      <x:c r="C281" s="34"/>
      <x:c r="D281" s="34"/>
      <x:c r="E281" s="35"/>
      <x:c r="F281" s="35"/>
      <x:c r="G281" s="35"/>
      <x:c r="H281" s="35" t="str">
        <x:f>IF(B281="","",IF(COUNTIFS($B$2:B281,B281,$C$2:C281,C281,$D$2:D281,D281)=1,E281-SUMIFS($G$2:$G$1001,$B$2:$B$1001,B281,$C$2:$C$1001,C281,$D$2:$D$1001,D281),0))</x:f>
      </x:c>
    </x:row>
    <x:row r="282" ht="24" customHeight="1">
      <x:c r="A282" s="34"/>
      <x:c r="B282" s="34"/>
      <x:c r="C282" s="34"/>
      <x:c r="D282" s="34"/>
      <x:c r="E282" s="35"/>
      <x:c r="F282" s="35"/>
      <x:c r="G282" s="35"/>
      <x:c r="H282" s="35" t="str">
        <x:f>IF(B282="","",IF(COUNTIFS($B$2:B282,B282,$C$2:C282,C282,$D$2:D282,D282)=1,E282-SUMIFS($G$2:$G$1001,$B$2:$B$1001,B282,$C$2:$C$1001,C282,$D$2:$D$1001,D282),0))</x:f>
      </x:c>
    </x:row>
    <x:row r="283" ht="24" customHeight="1">
      <x:c r="A283" s="34"/>
      <x:c r="B283" s="34"/>
      <x:c r="C283" s="34"/>
      <x:c r="D283" s="34"/>
      <x:c r="E283" s="35"/>
      <x:c r="F283" s="35"/>
      <x:c r="G283" s="35"/>
      <x:c r="H283" s="35" t="str">
        <x:f>IF(B283="","",IF(COUNTIFS($B$2:B283,B283,$C$2:C283,C283,$D$2:D283,D283)=1,E283-SUMIFS($G$2:$G$1001,$B$2:$B$1001,B283,$C$2:$C$1001,C283,$D$2:$D$1001,D283),0))</x:f>
      </x:c>
    </x:row>
    <x:row r="284" ht="24" customHeight="1">
      <x:c r="A284" s="34"/>
      <x:c r="B284" s="34"/>
      <x:c r="C284" s="34"/>
      <x:c r="D284" s="34"/>
      <x:c r="E284" s="35"/>
      <x:c r="F284" s="35"/>
      <x:c r="G284" s="35"/>
      <x:c r="H284" s="35" t="str">
        <x:f>IF(B284="","",IF(COUNTIFS($B$2:B284,B284,$C$2:C284,C284,$D$2:D284,D284)=1,E284-SUMIFS($G$2:$G$1001,$B$2:$B$1001,B284,$C$2:$C$1001,C284,$D$2:$D$1001,D284),0))</x:f>
      </x:c>
    </x:row>
    <x:row r="285" ht="24" customHeight="1">
      <x:c r="A285" s="34"/>
      <x:c r="B285" s="34"/>
      <x:c r="C285" s="34"/>
      <x:c r="D285" s="34"/>
      <x:c r="E285" s="35"/>
      <x:c r="F285" s="35"/>
      <x:c r="G285" s="35"/>
      <x:c r="H285" s="35" t="str">
        <x:f>IF(B285="","",IF(COUNTIFS($B$2:B285,B285,$C$2:C285,C285,$D$2:D285,D285)=1,E285-SUMIFS($G$2:$G$1001,$B$2:$B$1001,B285,$C$2:$C$1001,C285,$D$2:$D$1001,D285),0))</x:f>
      </x:c>
    </x:row>
    <x:row r="286" ht="24" customHeight="1">
      <x:c r="A286" s="34"/>
      <x:c r="B286" s="34"/>
      <x:c r="C286" s="34"/>
      <x:c r="D286" s="34"/>
      <x:c r="E286" s="35"/>
      <x:c r="F286" s="35"/>
      <x:c r="G286" s="35"/>
      <x:c r="H286" s="35" t="str">
        <x:f>IF(B286="","",IF(COUNTIFS($B$2:B286,B286,$C$2:C286,C286,$D$2:D286,D286)=1,E286-SUMIFS($G$2:$G$1001,$B$2:$B$1001,B286,$C$2:$C$1001,C286,$D$2:$D$1001,D286),0))</x:f>
      </x:c>
    </x:row>
    <x:row r="287" ht="24" customHeight="1">
      <x:c r="A287" s="34"/>
      <x:c r="B287" s="34"/>
      <x:c r="C287" s="34"/>
      <x:c r="D287" s="34"/>
      <x:c r="E287" s="35"/>
      <x:c r="F287" s="35"/>
      <x:c r="G287" s="35"/>
      <x:c r="H287" s="35" t="str">
        <x:f>IF(B287="","",IF(COUNTIFS($B$2:B287,B287,$C$2:C287,C287,$D$2:D287,D287)=1,E287-SUMIFS($G$2:$G$1001,$B$2:$B$1001,B287,$C$2:$C$1001,C287,$D$2:$D$1001,D287),0))</x:f>
      </x:c>
    </x:row>
    <x:row r="288" ht="24" customHeight="1">
      <x:c r="A288" s="34"/>
      <x:c r="B288" s="34"/>
      <x:c r="C288" s="34"/>
      <x:c r="D288" s="34"/>
      <x:c r="E288" s="35"/>
      <x:c r="F288" s="35"/>
      <x:c r="G288" s="35"/>
      <x:c r="H288" s="35" t="str">
        <x:f>IF(B288="","",IF(COUNTIFS($B$2:B288,B288,$C$2:C288,C288,$D$2:D288,D288)=1,E288-SUMIFS($G$2:$G$1001,$B$2:$B$1001,B288,$C$2:$C$1001,C288,$D$2:$D$1001,D288),0))</x:f>
      </x:c>
    </x:row>
    <x:row r="289" ht="24" customHeight="1">
      <x:c r="A289" s="34"/>
      <x:c r="B289" s="34"/>
      <x:c r="C289" s="34"/>
      <x:c r="D289" s="34"/>
      <x:c r="E289" s="35"/>
      <x:c r="F289" s="35"/>
      <x:c r="G289" s="35"/>
      <x:c r="H289" s="35" t="str">
        <x:f>IF(B289="","",IF(COUNTIFS($B$2:B289,B289,$C$2:C289,C289,$D$2:D289,D289)=1,E289-SUMIFS($G$2:$G$1001,$B$2:$B$1001,B289,$C$2:$C$1001,C289,$D$2:$D$1001,D289),0))</x:f>
      </x:c>
    </x:row>
    <x:row r="290" ht="24" customHeight="1">
      <x:c r="A290" s="34"/>
      <x:c r="B290" s="34"/>
      <x:c r="C290" s="34"/>
      <x:c r="D290" s="34"/>
      <x:c r="E290" s="35"/>
      <x:c r="F290" s="35"/>
      <x:c r="G290" s="35"/>
      <x:c r="H290" s="35" t="str">
        <x:f>IF(B290="","",IF(COUNTIFS($B$2:B290,B290,$C$2:C290,C290,$D$2:D290,D290)=1,E290-SUMIFS($G$2:$G$1001,$B$2:$B$1001,B290,$C$2:$C$1001,C290,$D$2:$D$1001,D290),0))</x:f>
      </x:c>
    </x:row>
    <x:row r="291" ht="24" customHeight="1">
      <x:c r="A291" s="34"/>
      <x:c r="B291" s="34"/>
      <x:c r="C291" s="34"/>
      <x:c r="D291" s="34"/>
      <x:c r="E291" s="35"/>
      <x:c r="F291" s="35"/>
      <x:c r="G291" s="35"/>
      <x:c r="H291" s="35" t="str">
        <x:f>IF(B291="","",IF(COUNTIFS($B$2:B291,B291,$C$2:C291,C291,$D$2:D291,D291)=1,E291-SUMIFS($G$2:$G$1001,$B$2:$B$1001,B291,$C$2:$C$1001,C291,$D$2:$D$1001,D291),0))</x:f>
      </x:c>
    </x:row>
    <x:row r="292" ht="24" customHeight="1">
      <x:c r="A292" s="34"/>
      <x:c r="B292" s="34"/>
      <x:c r="C292" s="34"/>
      <x:c r="D292" s="34"/>
      <x:c r="E292" s="35"/>
      <x:c r="F292" s="35"/>
      <x:c r="G292" s="35"/>
      <x:c r="H292" s="35" t="str">
        <x:f>IF(B292="","",IF(COUNTIFS($B$2:B292,B292,$C$2:C292,C292,$D$2:D292,D292)=1,E292-SUMIFS($G$2:$G$1001,$B$2:$B$1001,B292,$C$2:$C$1001,C292,$D$2:$D$1001,D292),0))</x:f>
      </x:c>
    </x:row>
    <x:row r="293" ht="24" customHeight="1">
      <x:c r="A293" s="34"/>
      <x:c r="B293" s="34"/>
      <x:c r="C293" s="34"/>
      <x:c r="D293" s="34"/>
      <x:c r="E293" s="35"/>
      <x:c r="F293" s="35"/>
      <x:c r="G293" s="35"/>
      <x:c r="H293" s="35" t="str">
        <x:f>IF(B293="","",IF(COUNTIFS($B$2:B293,B293,$C$2:C293,C293,$D$2:D293,D293)=1,E293-SUMIFS($G$2:$G$1001,$B$2:$B$1001,B293,$C$2:$C$1001,C293,$D$2:$D$1001,D293),0))</x:f>
      </x:c>
    </x:row>
    <x:row r="294" ht="24" customHeight="1">
      <x:c r="A294" s="34"/>
      <x:c r="B294" s="34"/>
      <x:c r="C294" s="34"/>
      <x:c r="D294" s="34"/>
      <x:c r="E294" s="35"/>
      <x:c r="F294" s="35"/>
      <x:c r="G294" s="35"/>
      <x:c r="H294" s="35" t="str">
        <x:f>IF(B294="","",IF(COUNTIFS($B$2:B294,B294,$C$2:C294,C294,$D$2:D294,D294)=1,E294-SUMIFS($G$2:$G$1001,$B$2:$B$1001,B294,$C$2:$C$1001,C294,$D$2:$D$1001,D294),0))</x:f>
      </x:c>
    </x:row>
    <x:row r="295" ht="24" customHeight="1">
      <x:c r="A295" s="34"/>
      <x:c r="B295" s="34"/>
      <x:c r="C295" s="34"/>
      <x:c r="D295" s="34"/>
      <x:c r="E295" s="35"/>
      <x:c r="F295" s="35"/>
      <x:c r="G295" s="35"/>
      <x:c r="H295" s="35" t="str">
        <x:f>IF(B295="","",IF(COUNTIFS($B$2:B295,B295,$C$2:C295,C295,$D$2:D295,D295)=1,E295-SUMIFS($G$2:$G$1001,$B$2:$B$1001,B295,$C$2:$C$1001,C295,$D$2:$D$1001,D295),0))</x:f>
      </x:c>
    </x:row>
    <x:row r="296" ht="24" customHeight="1">
      <x:c r="A296" s="34"/>
      <x:c r="B296" s="34"/>
      <x:c r="C296" s="34"/>
      <x:c r="D296" s="34"/>
      <x:c r="E296" s="35"/>
      <x:c r="F296" s="35"/>
      <x:c r="G296" s="35"/>
      <x:c r="H296" s="35" t="str">
        <x:f>IF(B296="","",IF(COUNTIFS($B$2:B296,B296,$C$2:C296,C296,$D$2:D296,D296)=1,E296-SUMIFS($G$2:$G$1001,$B$2:$B$1001,B296,$C$2:$C$1001,C296,$D$2:$D$1001,D296),0))</x:f>
      </x:c>
    </x:row>
    <x:row r="297" ht="24" customHeight="1">
      <x:c r="A297" s="34"/>
      <x:c r="B297" s="34"/>
      <x:c r="C297" s="34"/>
      <x:c r="D297" s="34"/>
      <x:c r="E297" s="35"/>
      <x:c r="F297" s="35"/>
      <x:c r="G297" s="35"/>
      <x:c r="H297" s="35" t="str">
        <x:f>IF(B297="","",IF(COUNTIFS($B$2:B297,B297,$C$2:C297,C297,$D$2:D297,D297)=1,E297-SUMIFS($G$2:$G$1001,$B$2:$B$1001,B297,$C$2:$C$1001,C297,$D$2:$D$1001,D297),0))</x:f>
      </x:c>
    </x:row>
    <x:row r="298" ht="24" customHeight="1">
      <x:c r="A298" s="34"/>
      <x:c r="B298" s="34"/>
      <x:c r="C298" s="34"/>
      <x:c r="D298" s="34"/>
      <x:c r="E298" s="35"/>
      <x:c r="F298" s="35"/>
      <x:c r="G298" s="35"/>
      <x:c r="H298" s="35" t="str">
        <x:f>IF(B298="","",IF(COUNTIFS($B$2:B298,B298,$C$2:C298,C298,$D$2:D298,D298)=1,E298-SUMIFS($G$2:$G$1001,$B$2:$B$1001,B298,$C$2:$C$1001,C298,$D$2:$D$1001,D298),0))</x:f>
      </x:c>
    </x:row>
    <x:row r="299" ht="24" customHeight="1">
      <x:c r="A299" s="34"/>
      <x:c r="B299" s="34"/>
      <x:c r="C299" s="34"/>
      <x:c r="D299" s="34"/>
      <x:c r="E299" s="35"/>
      <x:c r="F299" s="35"/>
      <x:c r="G299" s="35"/>
      <x:c r="H299" s="35" t="str">
        <x:f>IF(B299="","",IF(COUNTIFS($B$2:B299,B299,$C$2:C299,C299,$D$2:D299,D299)=1,E299-SUMIFS($G$2:$G$1001,$B$2:$B$1001,B299,$C$2:$C$1001,C299,$D$2:$D$1001,D299),0))</x:f>
      </x:c>
    </x:row>
    <x:row r="300" ht="24" customHeight="1">
      <x:c r="A300" s="34"/>
      <x:c r="B300" s="34"/>
      <x:c r="C300" s="34"/>
      <x:c r="D300" s="34"/>
      <x:c r="E300" s="35"/>
      <x:c r="F300" s="35"/>
      <x:c r="G300" s="35"/>
      <x:c r="H300" s="35" t="str">
        <x:f>IF(B300="","",IF(COUNTIFS($B$2:B300,B300,$C$2:C300,C300,$D$2:D300,D300)=1,E300-SUMIFS($G$2:$G$1001,$B$2:$B$1001,B300,$C$2:$C$1001,C300,$D$2:$D$1001,D300),0))</x:f>
      </x:c>
    </x:row>
    <x:row r="301" ht="24" customHeight="1">
      <x:c r="A301" s="34"/>
      <x:c r="B301" s="34"/>
      <x:c r="C301" s="34"/>
      <x:c r="D301" s="34"/>
      <x:c r="E301" s="35"/>
      <x:c r="F301" s="35"/>
      <x:c r="G301" s="35"/>
      <x:c r="H301" s="35" t="str">
        <x:f>IF(B301="","",IF(COUNTIFS($B$2:B301,B301,$C$2:C301,C301,$D$2:D301,D301)=1,E301-SUMIFS($G$2:$G$1001,$B$2:$B$1001,B301,$C$2:$C$1001,C301,$D$2:$D$1001,D301),0))</x:f>
      </x:c>
    </x:row>
    <x:row r="302" ht="24" customHeight="1">
      <x:c r="A302" s="34"/>
      <x:c r="B302" s="34"/>
      <x:c r="C302" s="34"/>
      <x:c r="D302" s="34"/>
      <x:c r="E302" s="35"/>
      <x:c r="F302" s="35"/>
      <x:c r="G302" s="35"/>
      <x:c r="H302" s="35" t="str">
        <x:f>IF(B302="","",IF(COUNTIFS($B$2:B302,B302,$C$2:C302,C302,$D$2:D302,D302)=1,E302-SUMIFS($G$2:$G$1001,$B$2:$B$1001,B302,$C$2:$C$1001,C302,$D$2:$D$1001,D302),0))</x:f>
      </x:c>
    </x:row>
    <x:row r="303" ht="24" customHeight="1">
      <x:c r="A303" s="34"/>
      <x:c r="B303" s="34"/>
      <x:c r="C303" s="34"/>
      <x:c r="D303" s="34"/>
      <x:c r="E303" s="35"/>
      <x:c r="F303" s="35"/>
      <x:c r="G303" s="35"/>
      <x:c r="H303" s="35" t="str">
        <x:f>IF(B303="","",IF(COUNTIFS($B$2:B303,B303,$C$2:C303,C303,$D$2:D303,D303)=1,E303-SUMIFS($G$2:$G$1001,$B$2:$B$1001,B303,$C$2:$C$1001,C303,$D$2:$D$1001,D303),0))</x:f>
      </x:c>
    </x:row>
    <x:row r="304" ht="24" customHeight="1">
      <x:c r="A304" s="34"/>
      <x:c r="B304" s="34"/>
      <x:c r="C304" s="34"/>
      <x:c r="D304" s="34"/>
      <x:c r="E304" s="35"/>
      <x:c r="F304" s="35"/>
      <x:c r="G304" s="35"/>
      <x:c r="H304" s="35" t="str">
        <x:f>IF(B304="","",IF(COUNTIFS($B$2:B304,B304,$C$2:C304,C304,$D$2:D304,D304)=1,E304-SUMIFS($G$2:$G$1001,$B$2:$B$1001,B304,$C$2:$C$1001,C304,$D$2:$D$1001,D304),0))</x:f>
      </x:c>
    </x:row>
    <x:row r="305" ht="24" customHeight="1">
      <x:c r="A305" s="34"/>
      <x:c r="B305" s="34"/>
      <x:c r="C305" s="34"/>
      <x:c r="D305" s="34"/>
      <x:c r="E305" s="35"/>
      <x:c r="F305" s="35"/>
      <x:c r="G305" s="35"/>
      <x:c r="H305" s="35" t="str">
        <x:f>IF(B305="","",IF(COUNTIFS($B$2:B305,B305,$C$2:C305,C305,$D$2:D305,D305)=1,E305-SUMIFS($G$2:$G$1001,$B$2:$B$1001,B305,$C$2:$C$1001,C305,$D$2:$D$1001,D305),0))</x:f>
      </x:c>
    </x:row>
    <x:row r="306" ht="24" customHeight="1">
      <x:c r="A306" s="34"/>
      <x:c r="B306" s="34"/>
      <x:c r="C306" s="34"/>
      <x:c r="D306" s="34"/>
      <x:c r="E306" s="35"/>
      <x:c r="F306" s="35"/>
      <x:c r="G306" s="35"/>
      <x:c r="H306" s="35" t="str">
        <x:f>IF(B306="","",IF(COUNTIFS($B$2:B306,B306,$C$2:C306,C306,$D$2:D306,D306)=1,E306-SUMIFS($G$2:$G$1001,$B$2:$B$1001,B306,$C$2:$C$1001,C306,$D$2:$D$1001,D306),0))</x:f>
      </x:c>
    </x:row>
    <x:row r="307" ht="24" customHeight="1">
      <x:c r="A307" s="34"/>
      <x:c r="B307" s="34"/>
      <x:c r="C307" s="34"/>
      <x:c r="D307" s="34"/>
      <x:c r="E307" s="35"/>
      <x:c r="F307" s="35"/>
      <x:c r="G307" s="35"/>
      <x:c r="H307" s="35" t="str">
        <x:f>IF(B307="","",IF(COUNTIFS($B$2:B307,B307,$C$2:C307,C307,$D$2:D307,D307)=1,E307-SUMIFS($G$2:$G$1001,$B$2:$B$1001,B307,$C$2:$C$1001,C307,$D$2:$D$1001,D307),0))</x:f>
      </x:c>
    </x:row>
    <x:row r="308" ht="24" customHeight="1">
      <x:c r="A308" s="34"/>
      <x:c r="B308" s="34"/>
      <x:c r="C308" s="34"/>
      <x:c r="D308" s="34"/>
      <x:c r="E308" s="35"/>
      <x:c r="F308" s="35"/>
      <x:c r="G308" s="35"/>
      <x:c r="H308" s="35" t="str">
        <x:f>IF(B308="","",IF(COUNTIFS($B$2:B308,B308,$C$2:C308,C308,$D$2:D308,D308)=1,E308-SUMIFS($G$2:$G$1001,$B$2:$B$1001,B308,$C$2:$C$1001,C308,$D$2:$D$1001,D308),0))</x:f>
      </x:c>
    </x:row>
    <x:row r="309" ht="24" customHeight="1">
      <x:c r="A309" s="34"/>
      <x:c r="B309" s="34"/>
      <x:c r="C309" s="34"/>
      <x:c r="D309" s="34"/>
      <x:c r="E309" s="35"/>
      <x:c r="F309" s="35"/>
      <x:c r="G309" s="35"/>
      <x:c r="H309" s="35" t="str">
        <x:f>IF(B309="","",IF(COUNTIFS($B$2:B309,B309,$C$2:C309,C309,$D$2:D309,D309)=1,E309-SUMIFS($G$2:$G$1001,$B$2:$B$1001,B309,$C$2:$C$1001,C309,$D$2:$D$1001,D309),0))</x:f>
      </x:c>
    </x:row>
    <x:row r="310" ht="24" customHeight="1">
      <x:c r="A310" s="34"/>
      <x:c r="B310" s="34"/>
      <x:c r="C310" s="34"/>
      <x:c r="D310" s="34"/>
      <x:c r="E310" s="35"/>
      <x:c r="F310" s="35"/>
      <x:c r="G310" s="35"/>
      <x:c r="H310" s="35" t="str">
        <x:f>IF(B310="","",IF(COUNTIFS($B$2:B310,B310,$C$2:C310,C310,$D$2:D310,D310)=1,E310-SUMIFS($G$2:$G$1001,$B$2:$B$1001,B310,$C$2:$C$1001,C310,$D$2:$D$1001,D310),0))</x:f>
      </x:c>
    </x:row>
    <x:row r="311" ht="24" customHeight="1">
      <x:c r="A311" s="34"/>
      <x:c r="B311" s="34"/>
      <x:c r="C311" s="34"/>
      <x:c r="D311" s="34"/>
      <x:c r="E311" s="35"/>
      <x:c r="F311" s="35"/>
      <x:c r="G311" s="35"/>
      <x:c r="H311" s="35" t="str">
        <x:f>IF(B311="","",IF(COUNTIFS($B$2:B311,B311,$C$2:C311,C311,$D$2:D311,D311)=1,E311-SUMIFS($G$2:$G$1001,$B$2:$B$1001,B311,$C$2:$C$1001,C311,$D$2:$D$1001,D311),0))</x:f>
      </x:c>
    </x:row>
    <x:row r="312" ht="24" customHeight="1">
      <x:c r="A312" s="34"/>
      <x:c r="B312" s="34"/>
      <x:c r="C312" s="34"/>
      <x:c r="D312" s="34"/>
      <x:c r="E312" s="35"/>
      <x:c r="F312" s="35"/>
      <x:c r="G312" s="35"/>
      <x:c r="H312" s="35" t="str">
        <x:f>IF(B312="","",IF(COUNTIFS($B$2:B312,B312,$C$2:C312,C312,$D$2:D312,D312)=1,E312-SUMIFS($G$2:$G$1001,$B$2:$B$1001,B312,$C$2:$C$1001,C312,$D$2:$D$1001,D312),0))</x:f>
      </x:c>
    </x:row>
    <x:row r="313" ht="24" customHeight="1">
      <x:c r="A313" s="34"/>
      <x:c r="B313" s="34"/>
      <x:c r="C313" s="34"/>
      <x:c r="D313" s="34"/>
      <x:c r="E313" s="35"/>
      <x:c r="F313" s="35"/>
      <x:c r="G313" s="35"/>
      <x:c r="H313" s="35" t="str">
        <x:f>IF(B313="","",IF(COUNTIFS($B$2:B313,B313,$C$2:C313,C313,$D$2:D313,D313)=1,E313-SUMIFS($G$2:$G$1001,$B$2:$B$1001,B313,$C$2:$C$1001,C313,$D$2:$D$1001,D313),0))</x:f>
      </x:c>
    </x:row>
    <x:row r="314" ht="24" customHeight="1">
      <x:c r="A314" s="34"/>
      <x:c r="B314" s="34"/>
      <x:c r="C314" s="34"/>
      <x:c r="D314" s="34"/>
      <x:c r="E314" s="35"/>
      <x:c r="F314" s="35"/>
      <x:c r="G314" s="35"/>
      <x:c r="H314" s="35" t="str">
        <x:f>IF(B314="","",IF(COUNTIFS($B$2:B314,B314,$C$2:C314,C314,$D$2:D314,D314)=1,E314-SUMIFS($G$2:$G$1001,$B$2:$B$1001,B314,$C$2:$C$1001,C314,$D$2:$D$1001,D314),0))</x:f>
      </x:c>
    </x:row>
    <x:row r="315" ht="24" customHeight="1">
      <x:c r="A315" s="34"/>
      <x:c r="B315" s="34"/>
      <x:c r="C315" s="34"/>
      <x:c r="D315" s="34"/>
      <x:c r="E315" s="35"/>
      <x:c r="F315" s="35"/>
      <x:c r="G315" s="35"/>
      <x:c r="H315" s="35" t="str">
        <x:f>IF(B315="","",IF(COUNTIFS($B$2:B315,B315,$C$2:C315,C315,$D$2:D315,D315)=1,E315-SUMIFS($G$2:$G$1001,$B$2:$B$1001,B315,$C$2:$C$1001,C315,$D$2:$D$1001,D315),0))</x:f>
      </x:c>
    </x:row>
    <x:row r="316" ht="24" customHeight="1">
      <x:c r="A316" s="34"/>
      <x:c r="B316" s="34"/>
      <x:c r="C316" s="34"/>
      <x:c r="D316" s="34"/>
      <x:c r="E316" s="35"/>
      <x:c r="F316" s="35"/>
      <x:c r="G316" s="35"/>
      <x:c r="H316" s="35" t="str">
        <x:f>IF(B316="","",IF(COUNTIFS($B$2:B316,B316,$C$2:C316,C316,$D$2:D316,D316)=1,E316-SUMIFS($G$2:$G$1001,$B$2:$B$1001,B316,$C$2:$C$1001,C316,$D$2:$D$1001,D316),0))</x:f>
      </x:c>
    </x:row>
    <x:row r="317" ht="24" customHeight="1">
      <x:c r="A317" s="34"/>
      <x:c r="B317" s="34"/>
      <x:c r="C317" s="34"/>
      <x:c r="D317" s="34"/>
      <x:c r="E317" s="35"/>
      <x:c r="F317" s="35"/>
      <x:c r="G317" s="35"/>
      <x:c r="H317" s="35" t="str">
        <x:f>IF(B317="","",IF(COUNTIFS($B$2:B317,B317,$C$2:C317,C317,$D$2:D317,D317)=1,E317-SUMIFS($G$2:$G$1001,$B$2:$B$1001,B317,$C$2:$C$1001,C317,$D$2:$D$1001,D317),0))</x:f>
      </x:c>
    </x:row>
    <x:row r="318" ht="24" customHeight="1">
      <x:c r="A318" s="34"/>
      <x:c r="B318" s="34"/>
      <x:c r="C318" s="34"/>
      <x:c r="D318" s="34"/>
      <x:c r="E318" s="35"/>
      <x:c r="F318" s="35"/>
      <x:c r="G318" s="35"/>
      <x:c r="H318" s="35" t="str">
        <x:f>IF(B318="","",IF(COUNTIFS($B$2:B318,B318,$C$2:C318,C318,$D$2:D318,D318)=1,E318-SUMIFS($G$2:$G$1001,$B$2:$B$1001,B318,$C$2:$C$1001,C318,$D$2:$D$1001,D318),0))</x:f>
      </x:c>
    </x:row>
    <x:row r="319" ht="24" customHeight="1">
      <x:c r="A319" s="34"/>
      <x:c r="B319" s="34"/>
      <x:c r="C319" s="34"/>
      <x:c r="D319" s="34"/>
      <x:c r="E319" s="35"/>
      <x:c r="F319" s="35"/>
      <x:c r="G319" s="35"/>
      <x:c r="H319" s="35" t="str">
        <x:f>IF(B319="","",IF(COUNTIFS($B$2:B319,B319,$C$2:C319,C319,$D$2:D319,D319)=1,E319-SUMIFS($G$2:$G$1001,$B$2:$B$1001,B319,$C$2:$C$1001,C319,$D$2:$D$1001,D319),0))</x:f>
      </x:c>
    </x:row>
    <x:row r="320" ht="24" customHeight="1">
      <x:c r="A320" s="34"/>
      <x:c r="B320" s="34"/>
      <x:c r="C320" s="34"/>
      <x:c r="D320" s="34"/>
      <x:c r="E320" s="35"/>
      <x:c r="F320" s="35"/>
      <x:c r="G320" s="35"/>
      <x:c r="H320" s="35" t="str">
        <x:f>IF(B320="","",IF(COUNTIFS($B$2:B320,B320,$C$2:C320,C320,$D$2:D320,D320)=1,E320-SUMIFS($G$2:$G$1001,$B$2:$B$1001,B320,$C$2:$C$1001,C320,$D$2:$D$1001,D320),0))</x:f>
      </x:c>
    </x:row>
    <x:row r="321" ht="24" customHeight="1">
      <x:c r="A321" s="34"/>
      <x:c r="B321" s="34"/>
      <x:c r="C321" s="34"/>
      <x:c r="D321" s="34"/>
      <x:c r="E321" s="35"/>
      <x:c r="F321" s="35"/>
      <x:c r="G321" s="35"/>
      <x:c r="H321" s="35" t="str">
        <x:f>IF(B321="","",IF(COUNTIFS($B$2:B321,B321,$C$2:C321,C321,$D$2:D321,D321)=1,E321-SUMIFS($G$2:$G$1001,$B$2:$B$1001,B321,$C$2:$C$1001,C321,$D$2:$D$1001,D321),0))</x:f>
      </x:c>
    </x:row>
    <x:row r="322" ht="24" customHeight="1">
      <x:c r="A322" s="34"/>
      <x:c r="B322" s="34"/>
      <x:c r="C322" s="34"/>
      <x:c r="D322" s="34"/>
      <x:c r="E322" s="35"/>
      <x:c r="F322" s="35"/>
      <x:c r="G322" s="35"/>
      <x:c r="H322" s="35" t="str">
        <x:f>IF(B322="","",IF(COUNTIFS($B$2:B322,B322,$C$2:C322,C322,$D$2:D322,D322)=1,E322-SUMIFS($G$2:$G$1001,$B$2:$B$1001,B322,$C$2:$C$1001,C322,$D$2:$D$1001,D322),0))</x:f>
      </x:c>
    </x:row>
    <x:row r="323" ht="24" customHeight="1">
      <x:c r="A323" s="34"/>
      <x:c r="B323" s="34"/>
      <x:c r="C323" s="34"/>
      <x:c r="D323" s="34"/>
      <x:c r="E323" s="35"/>
      <x:c r="F323" s="35"/>
      <x:c r="G323" s="35"/>
      <x:c r="H323" s="35" t="str">
        <x:f>IF(B323="","",IF(COUNTIFS($B$2:B323,B323,$C$2:C323,C323,$D$2:D323,D323)=1,E323-SUMIFS($G$2:$G$1001,$B$2:$B$1001,B323,$C$2:$C$1001,C323,$D$2:$D$1001,D323),0))</x:f>
      </x:c>
    </x:row>
    <x:row r="324" ht="24" customHeight="1">
      <x:c r="A324" s="34"/>
      <x:c r="B324" s="34"/>
      <x:c r="C324" s="34"/>
      <x:c r="D324" s="34"/>
      <x:c r="E324" s="35"/>
      <x:c r="F324" s="35"/>
      <x:c r="G324" s="35"/>
      <x:c r="H324" s="35" t="str">
        <x:f>IF(B324="","",IF(COUNTIFS($B$2:B324,B324,$C$2:C324,C324,$D$2:D324,D324)=1,E324-SUMIFS($G$2:$G$1001,$B$2:$B$1001,B324,$C$2:$C$1001,C324,$D$2:$D$1001,D324),0))</x:f>
      </x:c>
    </x:row>
    <x:row r="325" ht="24" customHeight="1">
      <x:c r="A325" s="34"/>
      <x:c r="B325" s="34"/>
      <x:c r="C325" s="34"/>
      <x:c r="D325" s="34"/>
      <x:c r="E325" s="35"/>
      <x:c r="F325" s="35"/>
      <x:c r="G325" s="35"/>
      <x:c r="H325" s="35" t="str">
        <x:f>IF(B325="","",IF(COUNTIFS($B$2:B325,B325,$C$2:C325,C325,$D$2:D325,D325)=1,E325-SUMIFS($G$2:$G$1001,$B$2:$B$1001,B325,$C$2:$C$1001,C325,$D$2:$D$1001,D325),0))</x:f>
      </x:c>
    </x:row>
    <x:row r="326" ht="24" customHeight="1">
      <x:c r="A326" s="34"/>
      <x:c r="B326" s="34"/>
      <x:c r="C326" s="34"/>
      <x:c r="D326" s="34"/>
      <x:c r="E326" s="35"/>
      <x:c r="F326" s="35"/>
      <x:c r="G326" s="35"/>
      <x:c r="H326" s="35" t="str">
        <x:f>IF(B326="","",IF(COUNTIFS($B$2:B326,B326,$C$2:C326,C326,$D$2:D326,D326)=1,E326-SUMIFS($G$2:$G$1001,$B$2:$B$1001,B326,$C$2:$C$1001,C326,$D$2:$D$1001,D326),0))</x:f>
      </x:c>
    </x:row>
    <x:row r="327" ht="24" customHeight="1">
      <x:c r="A327" s="34"/>
      <x:c r="B327" s="34"/>
      <x:c r="C327" s="34"/>
      <x:c r="D327" s="34"/>
      <x:c r="E327" s="35"/>
      <x:c r="F327" s="35"/>
      <x:c r="G327" s="35"/>
      <x:c r="H327" s="35" t="str">
        <x:f>IF(B327="","",IF(COUNTIFS($B$2:B327,B327,$C$2:C327,C327,$D$2:D327,D327)=1,E327-SUMIFS($G$2:$G$1001,$B$2:$B$1001,B327,$C$2:$C$1001,C327,$D$2:$D$1001,D327),0))</x:f>
      </x:c>
    </x:row>
    <x:row r="328" ht="24" customHeight="1">
      <x:c r="A328" s="34"/>
      <x:c r="B328" s="34"/>
      <x:c r="C328" s="34"/>
      <x:c r="D328" s="34"/>
      <x:c r="E328" s="35"/>
      <x:c r="F328" s="35"/>
      <x:c r="G328" s="35"/>
      <x:c r="H328" s="35" t="str">
        <x:f>IF(B328="","",IF(COUNTIFS($B$2:B328,B328,$C$2:C328,C328,$D$2:D328,D328)=1,E328-SUMIFS($G$2:$G$1001,$B$2:$B$1001,B328,$C$2:$C$1001,C328,$D$2:$D$1001,D328),0))</x:f>
      </x:c>
    </x:row>
    <x:row r="329" ht="24" customHeight="1">
      <x:c r="A329" s="34"/>
      <x:c r="B329" s="34"/>
      <x:c r="C329" s="34"/>
      <x:c r="D329" s="34"/>
      <x:c r="E329" s="35"/>
      <x:c r="F329" s="35"/>
      <x:c r="G329" s="35"/>
      <x:c r="H329" s="35" t="str">
        <x:f>IF(B329="","",IF(COUNTIFS($B$2:B329,B329,$C$2:C329,C329,$D$2:D329,D329)=1,E329-SUMIFS($G$2:$G$1001,$B$2:$B$1001,B329,$C$2:$C$1001,C329,$D$2:$D$1001,D329),0))</x:f>
      </x:c>
    </x:row>
    <x:row r="330" ht="24" customHeight="1">
      <x:c r="A330" s="34"/>
      <x:c r="B330" s="34"/>
      <x:c r="C330" s="34"/>
      <x:c r="D330" s="34"/>
      <x:c r="E330" s="35"/>
      <x:c r="F330" s="35"/>
      <x:c r="G330" s="35"/>
      <x:c r="H330" s="35" t="str">
        <x:f>IF(B330="","",IF(COUNTIFS($B$2:B330,B330,$C$2:C330,C330,$D$2:D330,D330)=1,E330-SUMIFS($G$2:$G$1001,$B$2:$B$1001,B330,$C$2:$C$1001,C330,$D$2:$D$1001,D330),0))</x:f>
      </x:c>
    </x:row>
    <x:row r="331" ht="24" customHeight="1">
      <x:c r="A331" s="34"/>
      <x:c r="B331" s="34"/>
      <x:c r="C331" s="34"/>
      <x:c r="D331" s="34"/>
      <x:c r="E331" s="35"/>
      <x:c r="F331" s="35"/>
      <x:c r="G331" s="35"/>
      <x:c r="H331" s="35" t="str">
        <x:f>IF(B331="","",IF(COUNTIFS($B$2:B331,B331,$C$2:C331,C331,$D$2:D331,D331)=1,E331-SUMIFS($G$2:$G$1001,$B$2:$B$1001,B331,$C$2:$C$1001,C331,$D$2:$D$1001,D331),0))</x:f>
      </x:c>
    </x:row>
    <x:row r="332" ht="24" customHeight="1">
      <x:c r="A332" s="34"/>
      <x:c r="B332" s="34"/>
      <x:c r="C332" s="34"/>
      <x:c r="D332" s="34"/>
      <x:c r="E332" s="35"/>
      <x:c r="F332" s="35"/>
      <x:c r="G332" s="35"/>
      <x:c r="H332" s="35" t="str">
        <x:f>IF(B332="","",IF(COUNTIFS($B$2:B332,B332,$C$2:C332,C332,$D$2:D332,D332)=1,E332-SUMIFS($G$2:$G$1001,$B$2:$B$1001,B332,$C$2:$C$1001,C332,$D$2:$D$1001,D332),0))</x:f>
      </x:c>
    </x:row>
    <x:row r="333" ht="24" customHeight="1">
      <x:c r="A333" s="34"/>
      <x:c r="B333" s="34"/>
      <x:c r="C333" s="34"/>
      <x:c r="D333" s="34"/>
      <x:c r="E333" s="35"/>
      <x:c r="F333" s="35"/>
      <x:c r="G333" s="35"/>
      <x:c r="H333" s="35" t="str">
        <x:f>IF(B333="","",IF(COUNTIFS($B$2:B333,B333,$C$2:C333,C333,$D$2:D333,D333)=1,E333-SUMIFS($G$2:$G$1001,$B$2:$B$1001,B333,$C$2:$C$1001,C333,$D$2:$D$1001,D333),0))</x:f>
      </x:c>
    </x:row>
    <x:row r="334" ht="24" customHeight="1">
      <x:c r="A334" s="34"/>
      <x:c r="B334" s="34"/>
      <x:c r="C334" s="34"/>
      <x:c r="D334" s="34"/>
      <x:c r="E334" s="35"/>
      <x:c r="F334" s="35"/>
      <x:c r="G334" s="35"/>
      <x:c r="H334" s="35" t="str">
        <x:f>IF(B334="","",IF(COUNTIFS($B$2:B334,B334,$C$2:C334,C334,$D$2:D334,D334)=1,E334-SUMIFS($G$2:$G$1001,$B$2:$B$1001,B334,$C$2:$C$1001,C334,$D$2:$D$1001,D334),0))</x:f>
      </x:c>
    </x:row>
    <x:row r="335" ht="24" customHeight="1">
      <x:c r="A335" s="34"/>
      <x:c r="B335" s="34"/>
      <x:c r="C335" s="34"/>
      <x:c r="D335" s="34"/>
      <x:c r="E335" s="35"/>
      <x:c r="F335" s="35"/>
      <x:c r="G335" s="35"/>
      <x:c r="H335" s="35" t="str">
        <x:f>IF(B335="","",IF(COUNTIFS($B$2:B335,B335,$C$2:C335,C335,$D$2:D335,D335)=1,E335-SUMIFS($G$2:$G$1001,$B$2:$B$1001,B335,$C$2:$C$1001,C335,$D$2:$D$1001,D335),0))</x:f>
      </x:c>
    </x:row>
    <x:row r="336" ht="24" customHeight="1">
      <x:c r="A336" s="34"/>
      <x:c r="B336" s="34"/>
      <x:c r="C336" s="34"/>
      <x:c r="D336" s="34"/>
      <x:c r="E336" s="35"/>
      <x:c r="F336" s="35"/>
      <x:c r="G336" s="35"/>
      <x:c r="H336" s="35" t="str">
        <x:f>IF(B336="","",IF(COUNTIFS($B$2:B336,B336,$C$2:C336,C336,$D$2:D336,D336)=1,E336-SUMIFS($G$2:$G$1001,$B$2:$B$1001,B336,$C$2:$C$1001,C336,$D$2:$D$1001,D336),0))</x:f>
      </x:c>
    </x:row>
    <x:row r="337" ht="24" customHeight="1">
      <x:c r="A337" s="34"/>
      <x:c r="B337" s="34"/>
      <x:c r="C337" s="34"/>
      <x:c r="D337" s="34"/>
      <x:c r="E337" s="35"/>
      <x:c r="F337" s="35"/>
      <x:c r="G337" s="35"/>
      <x:c r="H337" s="35" t="str">
        <x:f>IF(B337="","",IF(COUNTIFS($B$2:B337,B337,$C$2:C337,C337,$D$2:D337,D337)=1,E337-SUMIFS($G$2:$G$1001,$B$2:$B$1001,B337,$C$2:$C$1001,C337,$D$2:$D$1001,D337),0))</x:f>
      </x:c>
    </x:row>
    <x:row r="338" ht="24" customHeight="1">
      <x:c r="A338" s="34"/>
      <x:c r="B338" s="34"/>
      <x:c r="C338" s="34"/>
      <x:c r="D338" s="34"/>
      <x:c r="E338" s="35"/>
      <x:c r="F338" s="35"/>
      <x:c r="G338" s="35"/>
      <x:c r="H338" s="35" t="str">
        <x:f>IF(B338="","",IF(COUNTIFS($B$2:B338,B338,$C$2:C338,C338,$D$2:D338,D338)=1,E338-SUMIFS($G$2:$G$1001,$B$2:$B$1001,B338,$C$2:$C$1001,C338,$D$2:$D$1001,D338),0))</x:f>
      </x:c>
    </x:row>
    <x:row r="339" ht="24" customHeight="1">
      <x:c r="A339" s="34"/>
      <x:c r="B339" s="34"/>
      <x:c r="C339" s="34"/>
      <x:c r="D339" s="34"/>
      <x:c r="E339" s="35"/>
      <x:c r="F339" s="35"/>
      <x:c r="G339" s="35"/>
      <x:c r="H339" s="35" t="str">
        <x:f>IF(B339="","",IF(COUNTIFS($B$2:B339,B339,$C$2:C339,C339,$D$2:D339,D339)=1,E339-SUMIFS($G$2:$G$1001,$B$2:$B$1001,B339,$C$2:$C$1001,C339,$D$2:$D$1001,D339),0))</x:f>
      </x:c>
    </x:row>
    <x:row r="340" ht="24" customHeight="1">
      <x:c r="A340" s="34"/>
      <x:c r="B340" s="34"/>
      <x:c r="C340" s="34"/>
      <x:c r="D340" s="34"/>
      <x:c r="E340" s="35"/>
      <x:c r="F340" s="35"/>
      <x:c r="G340" s="35"/>
      <x:c r="H340" s="35" t="str">
        <x:f>IF(B340="","",IF(COUNTIFS($B$2:B340,B340,$C$2:C340,C340,$D$2:D340,D340)=1,E340-SUMIFS($G$2:$G$1001,$B$2:$B$1001,B340,$C$2:$C$1001,C340,$D$2:$D$1001,D340),0))</x:f>
      </x:c>
    </x:row>
    <x:row r="341" ht="24" customHeight="1">
      <x:c r="A341" s="34"/>
      <x:c r="B341" s="34"/>
      <x:c r="C341" s="34"/>
      <x:c r="D341" s="34"/>
      <x:c r="E341" s="35"/>
      <x:c r="F341" s="35"/>
      <x:c r="G341" s="35"/>
      <x:c r="H341" s="35" t="str">
        <x:f>IF(B341="","",IF(COUNTIFS($B$2:B341,B341,$C$2:C341,C341,$D$2:D341,D341)=1,E341-SUMIFS($G$2:$G$1001,$B$2:$B$1001,B341,$C$2:$C$1001,C341,$D$2:$D$1001,D341),0))</x:f>
      </x:c>
    </x:row>
    <x:row r="342" ht="24" customHeight="1">
      <x:c r="A342" s="34"/>
      <x:c r="B342" s="34"/>
      <x:c r="C342" s="34"/>
      <x:c r="D342" s="34"/>
      <x:c r="E342" s="35"/>
      <x:c r="F342" s="35"/>
      <x:c r="G342" s="35"/>
      <x:c r="H342" s="35" t="str">
        <x:f>IF(B342="","",IF(COUNTIFS($B$2:B342,B342,$C$2:C342,C342,$D$2:D342,D342)=1,E342-SUMIFS($G$2:$G$1001,$B$2:$B$1001,B342,$C$2:$C$1001,C342,$D$2:$D$1001,D342),0))</x:f>
      </x:c>
    </x:row>
    <x:row r="343" ht="24" customHeight="1">
      <x:c r="A343" s="34"/>
      <x:c r="B343" s="34"/>
      <x:c r="C343" s="34"/>
      <x:c r="D343" s="34"/>
      <x:c r="E343" s="35"/>
      <x:c r="F343" s="35"/>
      <x:c r="G343" s="35"/>
      <x:c r="H343" s="35" t="str">
        <x:f>IF(B343="","",IF(COUNTIFS($B$2:B343,B343,$C$2:C343,C343,$D$2:D343,D343)=1,E343-SUMIFS($G$2:$G$1001,$B$2:$B$1001,B343,$C$2:$C$1001,C343,$D$2:$D$1001,D343),0))</x:f>
      </x:c>
    </x:row>
    <x:row r="344" ht="24" customHeight="1">
      <x:c r="A344" s="34"/>
      <x:c r="B344" s="34"/>
      <x:c r="C344" s="34"/>
      <x:c r="D344" s="34"/>
      <x:c r="E344" s="35"/>
      <x:c r="F344" s="35"/>
      <x:c r="G344" s="35"/>
      <x:c r="H344" s="35" t="str">
        <x:f>IF(B344="","",IF(COUNTIFS($B$2:B344,B344,$C$2:C344,C344,$D$2:D344,D344)=1,E344-SUMIFS($G$2:$G$1001,$B$2:$B$1001,B344,$C$2:$C$1001,C344,$D$2:$D$1001,D344),0))</x:f>
      </x:c>
    </x:row>
    <x:row r="345" ht="24" customHeight="1">
      <x:c r="A345" s="34"/>
      <x:c r="B345" s="34"/>
      <x:c r="C345" s="34"/>
      <x:c r="D345" s="34"/>
      <x:c r="E345" s="35"/>
      <x:c r="F345" s="35"/>
      <x:c r="G345" s="35"/>
      <x:c r="H345" s="35" t="str">
        <x:f>IF(B345="","",IF(COUNTIFS($B$2:B345,B345,$C$2:C345,C345,$D$2:D345,D345)=1,E345-SUMIFS($G$2:$G$1001,$B$2:$B$1001,B345,$C$2:$C$1001,C345,$D$2:$D$1001,D345),0))</x:f>
      </x:c>
    </x:row>
    <x:row r="346" ht="24" customHeight="1">
      <x:c r="A346" s="34"/>
      <x:c r="B346" s="34"/>
      <x:c r="C346" s="34"/>
      <x:c r="D346" s="34"/>
      <x:c r="E346" s="35"/>
      <x:c r="F346" s="35"/>
      <x:c r="G346" s="35"/>
      <x:c r="H346" s="35" t="str">
        <x:f>IF(B346="","",IF(COUNTIFS($B$2:B346,B346,$C$2:C346,C346,$D$2:D346,D346)=1,E346-SUMIFS($G$2:$G$1001,$B$2:$B$1001,B346,$C$2:$C$1001,C346,$D$2:$D$1001,D346),0))</x:f>
      </x:c>
    </x:row>
    <x:row r="347" ht="24" customHeight="1">
      <x:c r="A347" s="34"/>
      <x:c r="B347" s="34"/>
      <x:c r="C347" s="34"/>
      <x:c r="D347" s="34"/>
      <x:c r="E347" s="35"/>
      <x:c r="F347" s="35"/>
      <x:c r="G347" s="35"/>
      <x:c r="H347" s="35" t="str">
        <x:f>IF(B347="","",IF(COUNTIFS($B$2:B347,B347,$C$2:C347,C347,$D$2:D347,D347)=1,E347-SUMIFS($G$2:$G$1001,$B$2:$B$1001,B347,$C$2:$C$1001,C347,$D$2:$D$1001,D347),0))</x:f>
      </x:c>
    </x:row>
    <x:row r="348" ht="24" customHeight="1">
      <x:c r="A348" s="34"/>
      <x:c r="B348" s="34"/>
      <x:c r="C348" s="34"/>
      <x:c r="D348" s="34"/>
      <x:c r="E348" s="35"/>
      <x:c r="F348" s="35"/>
      <x:c r="G348" s="35"/>
      <x:c r="H348" s="35" t="str">
        <x:f>IF(B348="","",IF(COUNTIFS($B$2:B348,B348,$C$2:C348,C348,$D$2:D348,D348)=1,E348-SUMIFS($G$2:$G$1001,$B$2:$B$1001,B348,$C$2:$C$1001,C348,$D$2:$D$1001,D348),0))</x:f>
      </x:c>
    </x:row>
    <x:row r="349" ht="24" customHeight="1">
      <x:c r="A349" s="34"/>
      <x:c r="B349" s="34"/>
      <x:c r="C349" s="34"/>
      <x:c r="D349" s="34"/>
      <x:c r="E349" s="35"/>
      <x:c r="F349" s="35"/>
      <x:c r="G349" s="35"/>
      <x:c r="H349" s="35" t="str">
        <x:f>IF(B349="","",IF(COUNTIFS($B$2:B349,B349,$C$2:C349,C349,$D$2:D349,D349)=1,E349-SUMIFS($G$2:$G$1001,$B$2:$B$1001,B349,$C$2:$C$1001,C349,$D$2:$D$1001,D349),0))</x:f>
      </x:c>
    </x:row>
    <x:row r="350" ht="24" customHeight="1">
      <x:c r="A350" s="34"/>
      <x:c r="B350" s="34"/>
      <x:c r="C350" s="34"/>
      <x:c r="D350" s="34"/>
      <x:c r="E350" s="35"/>
      <x:c r="F350" s="35"/>
      <x:c r="G350" s="35"/>
      <x:c r="H350" s="35" t="str">
        <x:f>IF(B350="","",IF(COUNTIFS($B$2:B350,B350,$C$2:C350,C350,$D$2:D350,D350)=1,E350-SUMIFS($G$2:$G$1001,$B$2:$B$1001,B350,$C$2:$C$1001,C350,$D$2:$D$1001,D350),0))</x:f>
      </x:c>
    </x:row>
    <x:row r="351" ht="24" customHeight="1">
      <x:c r="A351" s="34"/>
      <x:c r="B351" s="34"/>
      <x:c r="C351" s="34"/>
      <x:c r="D351" s="34"/>
      <x:c r="E351" s="35"/>
      <x:c r="F351" s="35"/>
      <x:c r="G351" s="35"/>
      <x:c r="H351" s="35" t="str">
        <x:f>IF(B351="","",IF(COUNTIFS($B$2:B351,B351,$C$2:C351,C351,$D$2:D351,D351)=1,E351-SUMIFS($G$2:$G$1001,$B$2:$B$1001,B351,$C$2:$C$1001,C351,$D$2:$D$1001,D351),0))</x:f>
      </x:c>
    </x:row>
    <x:row r="352" ht="24" customHeight="1">
      <x:c r="A352" s="34"/>
      <x:c r="B352" s="34"/>
      <x:c r="C352" s="34"/>
      <x:c r="D352" s="34"/>
      <x:c r="E352" s="35"/>
      <x:c r="F352" s="35"/>
      <x:c r="G352" s="35"/>
      <x:c r="H352" s="35" t="str">
        <x:f>IF(B352="","",IF(COUNTIFS($B$2:B352,B352,$C$2:C352,C352,$D$2:D352,D352)=1,E352-SUMIFS($G$2:$G$1001,$B$2:$B$1001,B352,$C$2:$C$1001,C352,$D$2:$D$1001,D352),0))</x:f>
      </x:c>
    </x:row>
    <x:row r="353" ht="24" customHeight="1">
      <x:c r="A353" s="34"/>
      <x:c r="B353" s="34"/>
      <x:c r="C353" s="34"/>
      <x:c r="D353" s="34"/>
      <x:c r="E353" s="35"/>
      <x:c r="F353" s="35"/>
      <x:c r="G353" s="35"/>
      <x:c r="H353" s="35" t="str">
        <x:f>IF(B353="","",IF(COUNTIFS($B$2:B353,B353,$C$2:C353,C353,$D$2:D353,D353)=1,E353-SUMIFS($G$2:$G$1001,$B$2:$B$1001,B353,$C$2:$C$1001,C353,$D$2:$D$1001,D353),0))</x:f>
      </x:c>
    </x:row>
    <x:row r="354" ht="24" customHeight="1">
      <x:c r="A354" s="34"/>
      <x:c r="B354" s="34"/>
      <x:c r="C354" s="34"/>
      <x:c r="D354" s="34"/>
      <x:c r="E354" s="35"/>
      <x:c r="F354" s="35"/>
      <x:c r="G354" s="35"/>
      <x:c r="H354" s="35" t="str">
        <x:f>IF(B354="","",IF(COUNTIFS($B$2:B354,B354,$C$2:C354,C354,$D$2:D354,D354)=1,E354-SUMIFS($G$2:$G$1001,$B$2:$B$1001,B354,$C$2:$C$1001,C354,$D$2:$D$1001,D354),0))</x:f>
      </x:c>
    </x:row>
    <x:row r="355" ht="24" customHeight="1">
      <x:c r="A355" s="34"/>
      <x:c r="B355" s="34"/>
      <x:c r="C355" s="34"/>
      <x:c r="D355" s="34"/>
      <x:c r="E355" s="35"/>
      <x:c r="F355" s="35"/>
      <x:c r="G355" s="35"/>
      <x:c r="H355" s="35" t="str">
        <x:f>IF(B355="","",IF(COUNTIFS($B$2:B355,B355,$C$2:C355,C355,$D$2:D355,D355)=1,E355-SUMIFS($G$2:$G$1001,$B$2:$B$1001,B355,$C$2:$C$1001,C355,$D$2:$D$1001,D355),0))</x:f>
      </x:c>
    </x:row>
    <x:row r="356" ht="24" customHeight="1">
      <x:c r="A356" s="34"/>
      <x:c r="B356" s="34"/>
      <x:c r="C356" s="34"/>
      <x:c r="D356" s="34"/>
      <x:c r="E356" s="35"/>
      <x:c r="F356" s="35"/>
      <x:c r="G356" s="35"/>
      <x:c r="H356" s="35" t="str">
        <x:f>IF(B356="","",IF(COUNTIFS($B$2:B356,B356,$C$2:C356,C356,$D$2:D356,D356)=1,E356-SUMIFS($G$2:$G$1001,$B$2:$B$1001,B356,$C$2:$C$1001,C356,$D$2:$D$1001,D356),0))</x:f>
      </x:c>
    </x:row>
    <x:row r="357" ht="24" customHeight="1">
      <x:c r="A357" s="34"/>
      <x:c r="B357" s="34"/>
      <x:c r="C357" s="34"/>
      <x:c r="D357" s="34"/>
      <x:c r="E357" s="35"/>
      <x:c r="F357" s="35"/>
      <x:c r="G357" s="35"/>
      <x:c r="H357" s="35" t="str">
        <x:f>IF(B357="","",IF(COUNTIFS($B$2:B357,B357,$C$2:C357,C357,$D$2:D357,D357)=1,E357-SUMIFS($G$2:$G$1001,$B$2:$B$1001,B357,$C$2:$C$1001,C357,$D$2:$D$1001,D357),0))</x:f>
      </x:c>
    </x:row>
    <x:row r="358" ht="24" customHeight="1">
      <x:c r="A358" s="34"/>
      <x:c r="B358" s="34"/>
      <x:c r="C358" s="34"/>
      <x:c r="D358" s="34"/>
      <x:c r="E358" s="35"/>
      <x:c r="F358" s="35"/>
      <x:c r="G358" s="35"/>
      <x:c r="H358" s="35" t="str">
        <x:f>IF(B358="","",IF(COUNTIFS($B$2:B358,B358,$C$2:C358,C358,$D$2:D358,D358)=1,E358-SUMIFS($G$2:$G$1001,$B$2:$B$1001,B358,$C$2:$C$1001,C358,$D$2:$D$1001,D358),0))</x:f>
      </x:c>
    </x:row>
    <x:row r="359" ht="24" customHeight="1">
      <x:c r="A359" s="34"/>
      <x:c r="B359" s="34"/>
      <x:c r="C359" s="34"/>
      <x:c r="D359" s="34"/>
      <x:c r="E359" s="35"/>
      <x:c r="F359" s="35"/>
      <x:c r="G359" s="35"/>
      <x:c r="H359" s="35" t="str">
        <x:f>IF(B359="","",IF(COUNTIFS($B$2:B359,B359,$C$2:C359,C359,$D$2:D359,D359)=1,E359-SUMIFS($G$2:$G$1001,$B$2:$B$1001,B359,$C$2:$C$1001,C359,$D$2:$D$1001,D359),0))</x:f>
      </x:c>
    </x:row>
    <x:row r="360" ht="24" customHeight="1">
      <x:c r="A360" s="34"/>
      <x:c r="B360" s="34"/>
      <x:c r="C360" s="34"/>
      <x:c r="D360" s="34"/>
      <x:c r="E360" s="35"/>
      <x:c r="F360" s="35"/>
      <x:c r="G360" s="35"/>
      <x:c r="H360" s="35" t="str">
        <x:f>IF(B360="","",IF(COUNTIFS($B$2:B360,B360,$C$2:C360,C360,$D$2:D360,D360)=1,E360-SUMIFS($G$2:$G$1001,$B$2:$B$1001,B360,$C$2:$C$1001,C360,$D$2:$D$1001,D360),0))</x:f>
      </x:c>
    </x:row>
    <x:row r="361" ht="24" customHeight="1">
      <x:c r="A361" s="34"/>
      <x:c r="B361" s="34"/>
      <x:c r="C361" s="34"/>
      <x:c r="D361" s="34"/>
      <x:c r="E361" s="35"/>
      <x:c r="F361" s="35"/>
      <x:c r="G361" s="35"/>
      <x:c r="H361" s="35" t="str">
        <x:f>IF(B361="","",IF(COUNTIFS($B$2:B361,B361,$C$2:C361,C361,$D$2:D361,D361)=1,E361-SUMIFS($G$2:$G$1001,$B$2:$B$1001,B361,$C$2:$C$1001,C361,$D$2:$D$1001,D361),0))</x:f>
      </x:c>
    </x:row>
    <x:row r="362" ht="24" customHeight="1">
      <x:c r="A362" s="34"/>
      <x:c r="B362" s="34"/>
      <x:c r="C362" s="34"/>
      <x:c r="D362" s="34"/>
      <x:c r="E362" s="35"/>
      <x:c r="F362" s="35"/>
      <x:c r="G362" s="35"/>
      <x:c r="H362" s="35" t="str">
        <x:f>IF(B362="","",IF(COUNTIFS($B$2:B362,B362,$C$2:C362,C362,$D$2:D362,D362)=1,E362-SUMIFS($G$2:$G$1001,$B$2:$B$1001,B362,$C$2:$C$1001,C362,$D$2:$D$1001,D362),0))</x:f>
      </x:c>
    </x:row>
    <x:row r="363" ht="24" customHeight="1">
      <x:c r="A363" s="34"/>
      <x:c r="B363" s="34"/>
      <x:c r="C363" s="34"/>
      <x:c r="D363" s="34"/>
      <x:c r="E363" s="35"/>
      <x:c r="F363" s="35"/>
      <x:c r="G363" s="35"/>
      <x:c r="H363" s="35" t="str">
        <x:f>IF(B363="","",IF(COUNTIFS($B$2:B363,B363,$C$2:C363,C363,$D$2:D363,D363)=1,E363-SUMIFS($G$2:$G$1001,$B$2:$B$1001,B363,$C$2:$C$1001,C363,$D$2:$D$1001,D363),0))</x:f>
      </x:c>
    </x:row>
    <x:row r="364" ht="24" customHeight="1">
      <x:c r="A364" s="34"/>
      <x:c r="B364" s="34"/>
      <x:c r="C364" s="34"/>
      <x:c r="D364" s="34"/>
      <x:c r="E364" s="35"/>
      <x:c r="F364" s="35"/>
      <x:c r="G364" s="35"/>
      <x:c r="H364" s="35" t="str">
        <x:f>IF(B364="","",IF(COUNTIFS($B$2:B364,B364,$C$2:C364,C364,$D$2:D364,D364)=1,E364-SUMIFS($G$2:$G$1001,$B$2:$B$1001,B364,$C$2:$C$1001,C364,$D$2:$D$1001,D364),0))</x:f>
      </x:c>
    </x:row>
    <x:row r="365" ht="24" customHeight="1">
      <x:c r="A365" s="34"/>
      <x:c r="B365" s="34"/>
      <x:c r="C365" s="34"/>
      <x:c r="D365" s="34"/>
      <x:c r="E365" s="35"/>
      <x:c r="F365" s="35"/>
      <x:c r="G365" s="35"/>
      <x:c r="H365" s="35" t="str">
        <x:f>IF(B365="","",IF(COUNTIFS($B$2:B365,B365,$C$2:C365,C365,$D$2:D365,D365)=1,E365-SUMIFS($G$2:$G$1001,$B$2:$B$1001,B365,$C$2:$C$1001,C365,$D$2:$D$1001,D365),0))</x:f>
      </x:c>
    </x:row>
    <x:row r="366" ht="24" customHeight="1">
      <x:c r="A366" s="34"/>
      <x:c r="B366" s="34"/>
      <x:c r="C366" s="34"/>
      <x:c r="D366" s="34"/>
      <x:c r="E366" s="35"/>
      <x:c r="F366" s="35"/>
      <x:c r="G366" s="35"/>
      <x:c r="H366" s="35" t="str">
        <x:f>IF(B366="","",IF(COUNTIFS($B$2:B366,B366,$C$2:C366,C366,$D$2:D366,D366)=1,E366-SUMIFS($G$2:$G$1001,$B$2:$B$1001,B366,$C$2:$C$1001,C366,$D$2:$D$1001,D366),0))</x:f>
      </x:c>
    </x:row>
    <x:row r="367" ht="24" customHeight="1">
      <x:c r="A367" s="34"/>
      <x:c r="B367" s="34"/>
      <x:c r="C367" s="34"/>
      <x:c r="D367" s="34"/>
      <x:c r="E367" s="35"/>
      <x:c r="F367" s="35"/>
      <x:c r="G367" s="35"/>
      <x:c r="H367" s="35" t="str">
        <x:f>IF(B367="","",IF(COUNTIFS($B$2:B367,B367,$C$2:C367,C367,$D$2:D367,D367)=1,E367-SUMIFS($G$2:$G$1001,$B$2:$B$1001,B367,$C$2:$C$1001,C367,$D$2:$D$1001,D367),0))</x:f>
      </x:c>
    </x:row>
    <x:row r="368" ht="24" customHeight="1">
      <x:c r="A368" s="34"/>
      <x:c r="B368" s="34"/>
      <x:c r="C368" s="34"/>
      <x:c r="D368" s="34"/>
      <x:c r="E368" s="35"/>
      <x:c r="F368" s="35"/>
      <x:c r="G368" s="35"/>
      <x:c r="H368" s="35" t="str">
        <x:f>IF(B368="","",IF(COUNTIFS($B$2:B368,B368,$C$2:C368,C368,$D$2:D368,D368)=1,E368-SUMIFS($G$2:$G$1001,$B$2:$B$1001,B368,$C$2:$C$1001,C368,$D$2:$D$1001,D368),0))</x:f>
      </x:c>
    </x:row>
    <x:row r="369" ht="24" customHeight="1">
      <x:c r="A369" s="34"/>
      <x:c r="B369" s="34"/>
      <x:c r="C369" s="34"/>
      <x:c r="D369" s="34"/>
      <x:c r="E369" s="35"/>
      <x:c r="F369" s="35"/>
      <x:c r="G369" s="35"/>
      <x:c r="H369" s="35" t="str">
        <x:f>IF(B369="","",IF(COUNTIFS($B$2:B369,B369,$C$2:C369,C369,$D$2:D369,D369)=1,E369-SUMIFS($G$2:$G$1001,$B$2:$B$1001,B369,$C$2:$C$1001,C369,$D$2:$D$1001,D369),0))</x:f>
      </x:c>
    </x:row>
    <x:row r="370" ht="24" customHeight="1">
      <x:c r="A370" s="34"/>
      <x:c r="B370" s="34"/>
      <x:c r="C370" s="34"/>
      <x:c r="D370" s="34"/>
      <x:c r="E370" s="35"/>
      <x:c r="F370" s="35"/>
      <x:c r="G370" s="35"/>
      <x:c r="H370" s="35" t="str">
        <x:f>IF(B370="","",IF(COUNTIFS($B$2:B370,B370,$C$2:C370,C370,$D$2:D370,D370)=1,E370-SUMIFS($G$2:$G$1001,$B$2:$B$1001,B370,$C$2:$C$1001,C370,$D$2:$D$1001,D370),0))</x:f>
      </x:c>
    </x:row>
    <x:row r="371" ht="24" customHeight="1">
      <x:c r="A371" s="34"/>
      <x:c r="B371" s="34"/>
      <x:c r="C371" s="34"/>
      <x:c r="D371" s="34"/>
      <x:c r="E371" s="35"/>
      <x:c r="F371" s="35"/>
      <x:c r="G371" s="35"/>
      <x:c r="H371" s="35" t="str">
        <x:f>IF(B371="","",IF(COUNTIFS($B$2:B371,B371,$C$2:C371,C371,$D$2:D371,D371)=1,E371-SUMIFS($G$2:$G$1001,$B$2:$B$1001,B371,$C$2:$C$1001,C371,$D$2:$D$1001,D371),0))</x:f>
      </x:c>
    </x:row>
    <x:row r="372" ht="24" customHeight="1">
      <x:c r="A372" s="34"/>
      <x:c r="B372" s="34"/>
      <x:c r="C372" s="34"/>
      <x:c r="D372" s="34"/>
      <x:c r="E372" s="35"/>
      <x:c r="F372" s="35"/>
      <x:c r="G372" s="35"/>
      <x:c r="H372" s="35" t="str">
        <x:f>IF(B372="","",IF(COUNTIFS($B$2:B372,B372,$C$2:C372,C372,$D$2:D372,D372)=1,E372-SUMIFS($G$2:$G$1001,$B$2:$B$1001,B372,$C$2:$C$1001,C372,$D$2:$D$1001,D372),0))</x:f>
      </x:c>
    </x:row>
    <x:row r="373" ht="24" customHeight="1">
      <x:c r="A373" s="34"/>
      <x:c r="B373" s="34"/>
      <x:c r="C373" s="34"/>
      <x:c r="D373" s="34"/>
      <x:c r="E373" s="35"/>
      <x:c r="F373" s="35"/>
      <x:c r="G373" s="35"/>
      <x:c r="H373" s="35" t="str">
        <x:f>IF(B373="","",IF(COUNTIFS($B$2:B373,B373,$C$2:C373,C373,$D$2:D373,D373)=1,E373-SUMIFS($G$2:$G$1001,$B$2:$B$1001,B373,$C$2:$C$1001,C373,$D$2:$D$1001,D373),0))</x:f>
      </x:c>
    </x:row>
    <x:row r="374" ht="24" customHeight="1">
      <x:c r="A374" s="34"/>
      <x:c r="B374" s="34"/>
      <x:c r="C374" s="34"/>
      <x:c r="D374" s="34"/>
      <x:c r="E374" s="35"/>
      <x:c r="F374" s="35"/>
      <x:c r="G374" s="35"/>
      <x:c r="H374" s="35" t="str">
        <x:f>IF(B374="","",IF(COUNTIFS($B$2:B374,B374,$C$2:C374,C374,$D$2:D374,D374)=1,E374-SUMIFS($G$2:$G$1001,$B$2:$B$1001,B374,$C$2:$C$1001,C374,$D$2:$D$1001,D374),0))</x:f>
      </x:c>
    </x:row>
    <x:row r="375" ht="24" customHeight="1">
      <x:c r="A375" s="34"/>
      <x:c r="B375" s="34"/>
      <x:c r="C375" s="34"/>
      <x:c r="D375" s="34"/>
      <x:c r="E375" s="35"/>
      <x:c r="F375" s="35"/>
      <x:c r="G375" s="35"/>
      <x:c r="H375" s="35" t="str">
        <x:f>IF(B375="","",IF(COUNTIFS($B$2:B375,B375,$C$2:C375,C375,$D$2:D375,D375)=1,E375-SUMIFS($G$2:$G$1001,$B$2:$B$1001,B375,$C$2:$C$1001,C375,$D$2:$D$1001,D375),0))</x:f>
      </x:c>
    </x:row>
    <x:row r="376" ht="24" customHeight="1">
      <x:c r="A376" s="34"/>
      <x:c r="B376" s="34"/>
      <x:c r="C376" s="34"/>
      <x:c r="D376" s="34"/>
      <x:c r="E376" s="35"/>
      <x:c r="F376" s="35"/>
      <x:c r="G376" s="35"/>
      <x:c r="H376" s="35" t="str">
        <x:f>IF(B376="","",IF(COUNTIFS($B$2:B376,B376,$C$2:C376,C376,$D$2:D376,D376)=1,E376-SUMIFS($G$2:$G$1001,$B$2:$B$1001,B376,$C$2:$C$1001,C376,$D$2:$D$1001,D376),0))</x:f>
      </x:c>
    </x:row>
    <x:row r="377" ht="24" customHeight="1">
      <x:c r="A377" s="34"/>
      <x:c r="B377" s="34"/>
      <x:c r="C377" s="34"/>
      <x:c r="D377" s="34"/>
      <x:c r="E377" s="35"/>
      <x:c r="F377" s="35"/>
      <x:c r="G377" s="35"/>
      <x:c r="H377" s="35" t="str">
        <x:f>IF(B377="","",IF(COUNTIFS($B$2:B377,B377,$C$2:C377,C377,$D$2:D377,D377)=1,E377-SUMIFS($G$2:$G$1001,$B$2:$B$1001,B377,$C$2:$C$1001,C377,$D$2:$D$1001,D377),0))</x:f>
      </x:c>
    </x:row>
    <x:row r="378" ht="24" customHeight="1">
      <x:c r="A378" s="34"/>
      <x:c r="B378" s="34"/>
      <x:c r="C378" s="34"/>
      <x:c r="D378" s="34"/>
      <x:c r="E378" s="35"/>
      <x:c r="F378" s="35"/>
      <x:c r="G378" s="35"/>
      <x:c r="H378" s="35" t="str">
        <x:f>IF(B378="","",IF(COUNTIFS($B$2:B378,B378,$C$2:C378,C378,$D$2:D378,D378)=1,E378-SUMIFS($G$2:$G$1001,$B$2:$B$1001,B378,$C$2:$C$1001,C378,$D$2:$D$1001,D378),0))</x:f>
      </x:c>
    </x:row>
    <x:row r="379" ht="24" customHeight="1">
      <x:c r="A379" s="34"/>
      <x:c r="B379" s="34"/>
      <x:c r="C379" s="34"/>
      <x:c r="D379" s="34"/>
      <x:c r="E379" s="35"/>
      <x:c r="F379" s="35"/>
      <x:c r="G379" s="35"/>
      <x:c r="H379" s="35" t="str">
        <x:f>IF(B379="","",IF(COUNTIFS($B$2:B379,B379,$C$2:C379,C379,$D$2:D379,D379)=1,E379-SUMIFS($G$2:$G$1001,$B$2:$B$1001,B379,$C$2:$C$1001,C379,$D$2:$D$1001,D379),0))</x:f>
      </x:c>
    </x:row>
    <x:row r="380" ht="24" customHeight="1">
      <x:c r="A380" s="34"/>
      <x:c r="B380" s="34"/>
      <x:c r="C380" s="34"/>
      <x:c r="D380" s="34"/>
      <x:c r="E380" s="35"/>
      <x:c r="F380" s="35"/>
      <x:c r="G380" s="35"/>
      <x:c r="H380" s="35" t="str">
        <x:f>IF(B380="","",IF(COUNTIFS($B$2:B380,B380,$C$2:C380,C380,$D$2:D380,D380)=1,E380-SUMIFS($G$2:$G$1001,$B$2:$B$1001,B380,$C$2:$C$1001,C380,$D$2:$D$1001,D380),0))</x:f>
      </x:c>
    </x:row>
    <x:row r="381" ht="24" customHeight="1">
      <x:c r="A381" s="34"/>
      <x:c r="B381" s="34"/>
      <x:c r="C381" s="34"/>
      <x:c r="D381" s="34"/>
      <x:c r="E381" s="35"/>
      <x:c r="F381" s="35"/>
      <x:c r="G381" s="35"/>
      <x:c r="H381" s="35" t="str">
        <x:f>IF(B381="","",IF(COUNTIFS($B$2:B381,B381,$C$2:C381,C381,$D$2:D381,D381)=1,E381-SUMIFS($G$2:$G$1001,$B$2:$B$1001,B381,$C$2:$C$1001,C381,$D$2:$D$1001,D381),0))</x:f>
      </x:c>
    </x:row>
    <x:row r="382" ht="24" customHeight="1">
      <x:c r="A382" s="34"/>
      <x:c r="B382" s="34"/>
      <x:c r="C382" s="34"/>
      <x:c r="D382" s="34"/>
      <x:c r="E382" s="35"/>
      <x:c r="F382" s="35"/>
      <x:c r="G382" s="35"/>
      <x:c r="H382" s="35" t="str">
        <x:f>IF(B382="","",IF(COUNTIFS($B$2:B382,B382,$C$2:C382,C382,$D$2:D382,D382)=1,E382-SUMIFS($G$2:$G$1001,$B$2:$B$1001,B382,$C$2:$C$1001,C382,$D$2:$D$1001,D382),0))</x:f>
      </x:c>
    </x:row>
    <x:row r="383" ht="24" customHeight="1">
      <x:c r="A383" s="34"/>
      <x:c r="B383" s="34"/>
      <x:c r="C383" s="34"/>
      <x:c r="D383" s="34"/>
      <x:c r="E383" s="35"/>
      <x:c r="F383" s="35"/>
      <x:c r="G383" s="35"/>
      <x:c r="H383" s="35" t="str">
        <x:f>IF(B383="","",IF(COUNTIFS($B$2:B383,B383,$C$2:C383,C383,$D$2:D383,D383)=1,E383-SUMIFS($G$2:$G$1001,$B$2:$B$1001,B383,$C$2:$C$1001,C383,$D$2:$D$1001,D383),0))</x:f>
      </x:c>
    </x:row>
    <x:row r="384" ht="24" customHeight="1">
      <x:c r="A384" s="34"/>
      <x:c r="B384" s="34"/>
      <x:c r="C384" s="34"/>
      <x:c r="D384" s="34"/>
      <x:c r="E384" s="35"/>
      <x:c r="F384" s="35"/>
      <x:c r="G384" s="35"/>
      <x:c r="H384" s="35" t="str">
        <x:f>IF(B384="","",IF(COUNTIFS($B$2:B384,B384,$C$2:C384,C384,$D$2:D384,D384)=1,E384-SUMIFS($G$2:$G$1001,$B$2:$B$1001,B384,$C$2:$C$1001,C384,$D$2:$D$1001,D384),0))</x:f>
      </x:c>
    </x:row>
    <x:row r="385" ht="24" customHeight="1">
      <x:c r="A385" s="34"/>
      <x:c r="B385" s="34"/>
      <x:c r="C385" s="34"/>
      <x:c r="D385" s="34"/>
      <x:c r="E385" s="35"/>
      <x:c r="F385" s="35"/>
      <x:c r="G385" s="35"/>
      <x:c r="H385" s="35" t="str">
        <x:f>IF(B385="","",IF(COUNTIFS($B$2:B385,B385,$C$2:C385,C385,$D$2:D385,D385)=1,E385-SUMIFS($G$2:$G$1001,$B$2:$B$1001,B385,$C$2:$C$1001,C385,$D$2:$D$1001,D385),0))</x:f>
      </x:c>
    </x:row>
    <x:row r="386" ht="24" customHeight="1">
      <x:c r="A386" s="34"/>
      <x:c r="B386" s="34"/>
      <x:c r="C386" s="34"/>
      <x:c r="D386" s="34"/>
      <x:c r="E386" s="35"/>
      <x:c r="F386" s="35"/>
      <x:c r="G386" s="35"/>
      <x:c r="H386" s="35" t="str">
        <x:f>IF(B386="","",IF(COUNTIFS($B$2:B386,B386,$C$2:C386,C386,$D$2:D386,D386)=1,E386-SUMIFS($G$2:$G$1001,$B$2:$B$1001,B386,$C$2:$C$1001,C386,$D$2:$D$1001,D386),0))</x:f>
      </x:c>
    </x:row>
    <x:row r="387" ht="24" customHeight="1">
      <x:c r="A387" s="34"/>
      <x:c r="B387" s="34"/>
      <x:c r="C387" s="34"/>
      <x:c r="D387" s="34"/>
      <x:c r="E387" s="35"/>
      <x:c r="F387" s="35"/>
      <x:c r="G387" s="35"/>
      <x:c r="H387" s="35" t="str">
        <x:f>IF(B387="","",IF(COUNTIFS($B$2:B387,B387,$C$2:C387,C387,$D$2:D387,D387)=1,E387-SUMIFS($G$2:$G$1001,$B$2:$B$1001,B387,$C$2:$C$1001,C387,$D$2:$D$1001,D387),0))</x:f>
      </x:c>
    </x:row>
    <x:row r="388" ht="24" customHeight="1">
      <x:c r="A388" s="34"/>
      <x:c r="B388" s="34"/>
      <x:c r="C388" s="34"/>
      <x:c r="D388" s="34"/>
      <x:c r="E388" s="35"/>
      <x:c r="F388" s="35"/>
      <x:c r="G388" s="35"/>
      <x:c r="H388" s="35" t="str">
        <x:f>IF(B388="","",IF(COUNTIFS($B$2:B388,B388,$C$2:C388,C388,$D$2:D388,D388)=1,E388-SUMIFS($G$2:$G$1001,$B$2:$B$1001,B388,$C$2:$C$1001,C388,$D$2:$D$1001,D388),0))</x:f>
      </x:c>
    </x:row>
    <x:row r="389" ht="24" customHeight="1">
      <x:c r="A389" s="34"/>
      <x:c r="B389" s="34"/>
      <x:c r="C389" s="34"/>
      <x:c r="D389" s="34"/>
      <x:c r="E389" s="35"/>
      <x:c r="F389" s="35"/>
      <x:c r="G389" s="35"/>
      <x:c r="H389" s="35" t="str">
        <x:f>IF(B389="","",IF(COUNTIFS($B$2:B389,B389,$C$2:C389,C389,$D$2:D389,D389)=1,E389-SUMIFS($G$2:$G$1001,$B$2:$B$1001,B389,$C$2:$C$1001,C389,$D$2:$D$1001,D389),0))</x:f>
      </x:c>
    </x:row>
    <x:row r="390" ht="24" customHeight="1">
      <x:c r="A390" s="34"/>
      <x:c r="B390" s="34"/>
      <x:c r="C390" s="34"/>
      <x:c r="D390" s="34"/>
      <x:c r="E390" s="35"/>
      <x:c r="F390" s="35"/>
      <x:c r="G390" s="35"/>
      <x:c r="H390" s="35" t="str">
        <x:f>IF(B390="","",IF(COUNTIFS($B$2:B390,B390,$C$2:C390,C390,$D$2:D390,D390)=1,E390-SUMIFS($G$2:$G$1001,$B$2:$B$1001,B390,$C$2:$C$1001,C390,$D$2:$D$1001,D390),0))</x:f>
      </x:c>
    </x:row>
    <x:row r="391" ht="24" customHeight="1">
      <x:c r="A391" s="34"/>
      <x:c r="B391" s="34"/>
      <x:c r="C391" s="34"/>
      <x:c r="D391" s="34"/>
      <x:c r="E391" s="35"/>
      <x:c r="F391" s="35"/>
      <x:c r="G391" s="35"/>
      <x:c r="H391" s="35" t="str">
        <x:f>IF(B391="","",IF(COUNTIFS($B$2:B391,B391,$C$2:C391,C391,$D$2:D391,D391)=1,E391-SUMIFS($G$2:$G$1001,$B$2:$B$1001,B391,$C$2:$C$1001,C391,$D$2:$D$1001,D391),0))</x:f>
      </x:c>
    </x:row>
    <x:row r="392" ht="24" customHeight="1">
      <x:c r="A392" s="34"/>
      <x:c r="B392" s="34"/>
      <x:c r="C392" s="34"/>
      <x:c r="D392" s="34"/>
      <x:c r="E392" s="35"/>
      <x:c r="F392" s="35"/>
      <x:c r="G392" s="35"/>
      <x:c r="H392" s="35" t="str">
        <x:f>IF(B392="","",IF(COUNTIFS($B$2:B392,B392,$C$2:C392,C392,$D$2:D392,D392)=1,E392-SUMIFS($G$2:$G$1001,$B$2:$B$1001,B392,$C$2:$C$1001,C392,$D$2:$D$1001,D392),0))</x:f>
      </x:c>
    </x:row>
    <x:row r="393" ht="24" customHeight="1">
      <x:c r="A393" s="34"/>
      <x:c r="B393" s="34"/>
      <x:c r="C393" s="34"/>
      <x:c r="D393" s="34"/>
      <x:c r="E393" s="35"/>
      <x:c r="F393" s="35"/>
      <x:c r="G393" s="35"/>
      <x:c r="H393" s="35" t="str">
        <x:f>IF(B393="","",IF(COUNTIFS($B$2:B393,B393,$C$2:C393,C393,$D$2:D393,D393)=1,E393-SUMIFS($G$2:$G$1001,$B$2:$B$1001,B393,$C$2:$C$1001,C393,$D$2:$D$1001,D393),0))</x:f>
      </x:c>
    </x:row>
    <x:row r="394" ht="24" customHeight="1">
      <x:c r="A394" s="34"/>
      <x:c r="B394" s="34"/>
      <x:c r="C394" s="34"/>
      <x:c r="D394" s="34"/>
      <x:c r="E394" s="35"/>
      <x:c r="F394" s="35"/>
      <x:c r="G394" s="35"/>
      <x:c r="H394" s="35" t="str">
        <x:f>IF(B394="","",IF(COUNTIFS($B$2:B394,B394,$C$2:C394,C394,$D$2:D394,D394)=1,E394-SUMIFS($G$2:$G$1001,$B$2:$B$1001,B394,$C$2:$C$1001,C394,$D$2:$D$1001,D394),0))</x:f>
      </x:c>
    </x:row>
    <x:row r="395" ht="24" customHeight="1">
      <x:c r="A395" s="34"/>
      <x:c r="B395" s="34"/>
      <x:c r="C395" s="34"/>
      <x:c r="D395" s="34"/>
      <x:c r="E395" s="35"/>
      <x:c r="F395" s="35"/>
      <x:c r="G395" s="35"/>
      <x:c r="H395" s="35" t="str">
        <x:f>IF(B395="","",IF(COUNTIFS($B$2:B395,B395,$C$2:C395,C395,$D$2:D395,D395)=1,E395-SUMIFS($G$2:$G$1001,$B$2:$B$1001,B395,$C$2:$C$1001,C395,$D$2:$D$1001,D395),0))</x:f>
      </x:c>
    </x:row>
    <x:row r="396" ht="24" customHeight="1">
      <x:c r="A396" s="34"/>
      <x:c r="B396" s="34"/>
      <x:c r="C396" s="34"/>
      <x:c r="D396" s="34"/>
      <x:c r="E396" s="35"/>
      <x:c r="F396" s="35"/>
      <x:c r="G396" s="35"/>
      <x:c r="H396" s="35" t="str">
        <x:f>IF(B396="","",IF(COUNTIFS($B$2:B396,B396,$C$2:C396,C396,$D$2:D396,D396)=1,E396-SUMIFS($G$2:$G$1001,$B$2:$B$1001,B396,$C$2:$C$1001,C396,$D$2:$D$1001,D396),0))</x:f>
      </x:c>
    </x:row>
    <x:row r="397" ht="24" customHeight="1">
      <x:c r="A397" s="34"/>
      <x:c r="B397" s="34"/>
      <x:c r="C397" s="34"/>
      <x:c r="D397" s="34"/>
      <x:c r="E397" s="35"/>
      <x:c r="F397" s="35"/>
      <x:c r="G397" s="35"/>
      <x:c r="H397" s="35" t="str">
        <x:f>IF(B397="","",IF(COUNTIFS($B$2:B397,B397,$C$2:C397,C397,$D$2:D397,D397)=1,E397-SUMIFS($G$2:$G$1001,$B$2:$B$1001,B397,$C$2:$C$1001,C397,$D$2:$D$1001,D397),0))</x:f>
      </x:c>
    </x:row>
    <x:row r="398" ht="24" customHeight="1">
      <x:c r="A398" s="34"/>
      <x:c r="B398" s="34"/>
      <x:c r="C398" s="34"/>
      <x:c r="D398" s="34"/>
      <x:c r="E398" s="35"/>
      <x:c r="F398" s="35"/>
      <x:c r="G398" s="35"/>
      <x:c r="H398" s="35" t="str">
        <x:f>IF(B398="","",IF(COUNTIFS($B$2:B398,B398,$C$2:C398,C398,$D$2:D398,D398)=1,E398-SUMIFS($G$2:$G$1001,$B$2:$B$1001,B398,$C$2:$C$1001,C398,$D$2:$D$1001,D398),0))</x:f>
      </x:c>
    </x:row>
    <x:row r="399" ht="24" customHeight="1">
      <x:c r="A399" s="34"/>
      <x:c r="B399" s="34"/>
      <x:c r="C399" s="34"/>
      <x:c r="D399" s="34"/>
      <x:c r="E399" s="35"/>
      <x:c r="F399" s="35"/>
      <x:c r="G399" s="35"/>
      <x:c r="H399" s="35" t="str">
        <x:f>IF(B399="","",IF(COUNTIFS($B$2:B399,B399,$C$2:C399,C399,$D$2:D399,D399)=1,E399-SUMIFS($G$2:$G$1001,$B$2:$B$1001,B399,$C$2:$C$1001,C399,$D$2:$D$1001,D399),0))</x:f>
      </x:c>
    </x:row>
    <x:row r="400" ht="24" customHeight="1">
      <x:c r="A400" s="34"/>
      <x:c r="B400" s="34"/>
      <x:c r="C400" s="34"/>
      <x:c r="D400" s="34"/>
      <x:c r="E400" s="35"/>
      <x:c r="F400" s="35"/>
      <x:c r="G400" s="35"/>
      <x:c r="H400" s="35" t="str">
        <x:f>IF(B400="","",IF(COUNTIFS($B$2:B400,B400,$C$2:C400,C400,$D$2:D400,D400)=1,E400-SUMIFS($G$2:$G$1001,$B$2:$B$1001,B400,$C$2:$C$1001,C400,$D$2:$D$1001,D400),0))</x:f>
      </x:c>
    </x:row>
    <x:row r="401" ht="24" customHeight="1">
      <x:c r="A401" s="34"/>
      <x:c r="B401" s="34"/>
      <x:c r="C401" s="34"/>
      <x:c r="D401" s="34"/>
      <x:c r="E401" s="35"/>
      <x:c r="F401" s="35"/>
      <x:c r="G401" s="35"/>
      <x:c r="H401" s="35" t="str">
        <x:f>IF(B401="","",IF(COUNTIFS($B$2:B401,B401,$C$2:C401,C401,$D$2:D401,D401)=1,E401-SUMIFS($G$2:$G$1001,$B$2:$B$1001,B401,$C$2:$C$1001,C401,$D$2:$D$1001,D401),0))</x:f>
      </x:c>
    </x:row>
    <x:row r="402" ht="24" customHeight="1">
      <x:c r="A402" s="34"/>
      <x:c r="B402" s="34"/>
      <x:c r="C402" s="34"/>
      <x:c r="D402" s="34"/>
      <x:c r="E402" s="35"/>
      <x:c r="F402" s="35"/>
      <x:c r="G402" s="35"/>
      <x:c r="H402" s="35" t="str">
        <x:f>IF(B402="","",IF(COUNTIFS($B$2:B402,B402,$C$2:C402,C402,$D$2:D402,D402)=1,E402-SUMIFS($G$2:$G$1001,$B$2:$B$1001,B402,$C$2:$C$1001,C402,$D$2:$D$1001,D402),0))</x:f>
      </x:c>
    </x:row>
    <x:row r="403" ht="24" customHeight="1">
      <x:c r="A403" s="34"/>
      <x:c r="B403" s="34"/>
      <x:c r="C403" s="34"/>
      <x:c r="D403" s="34"/>
      <x:c r="E403" s="35"/>
      <x:c r="F403" s="35"/>
      <x:c r="G403" s="35"/>
      <x:c r="H403" s="35" t="str">
        <x:f>IF(B403="","",IF(COUNTIFS($B$2:B403,B403,$C$2:C403,C403,$D$2:D403,D403)=1,E403-SUMIFS($G$2:$G$1001,$B$2:$B$1001,B403,$C$2:$C$1001,C403,$D$2:$D$1001,D403),0))</x:f>
      </x:c>
    </x:row>
    <x:row r="404" ht="24" customHeight="1">
      <x:c r="A404" s="34"/>
      <x:c r="B404" s="34"/>
      <x:c r="C404" s="34"/>
      <x:c r="D404" s="34"/>
      <x:c r="E404" s="35"/>
      <x:c r="F404" s="35"/>
      <x:c r="G404" s="35"/>
      <x:c r="H404" s="35" t="str">
        <x:f>IF(B404="","",IF(COUNTIFS($B$2:B404,B404,$C$2:C404,C404,$D$2:D404,D404)=1,E404-SUMIFS($G$2:$G$1001,$B$2:$B$1001,B404,$C$2:$C$1001,C404,$D$2:$D$1001,D404),0))</x:f>
      </x:c>
    </x:row>
    <x:row r="405" ht="24" customHeight="1">
      <x:c r="A405" s="34"/>
      <x:c r="B405" s="34"/>
      <x:c r="C405" s="34"/>
      <x:c r="D405" s="34"/>
      <x:c r="E405" s="35"/>
      <x:c r="F405" s="35"/>
      <x:c r="G405" s="35"/>
      <x:c r="H405" s="35" t="str">
        <x:f>IF(B405="","",IF(COUNTIFS($B$2:B405,B405,$C$2:C405,C405,$D$2:D405,D405)=1,E405-SUMIFS($G$2:$G$1001,$B$2:$B$1001,B405,$C$2:$C$1001,C405,$D$2:$D$1001,D405),0))</x:f>
      </x:c>
    </x:row>
    <x:row r="406" ht="24" customHeight="1">
      <x:c r="A406" s="34"/>
      <x:c r="B406" s="34"/>
      <x:c r="C406" s="34"/>
      <x:c r="D406" s="34"/>
      <x:c r="E406" s="35"/>
      <x:c r="F406" s="35"/>
      <x:c r="G406" s="35"/>
      <x:c r="H406" s="35" t="str">
        <x:f>IF(B406="","",IF(COUNTIFS($B$2:B406,B406,$C$2:C406,C406,$D$2:D406,D406)=1,E406-SUMIFS($G$2:$G$1001,$B$2:$B$1001,B406,$C$2:$C$1001,C406,$D$2:$D$1001,D406),0))</x:f>
      </x:c>
    </x:row>
    <x:row r="407" ht="24" customHeight="1">
      <x:c r="A407" s="34"/>
      <x:c r="B407" s="34"/>
      <x:c r="C407" s="34"/>
      <x:c r="D407" s="34"/>
      <x:c r="E407" s="35"/>
      <x:c r="F407" s="35"/>
      <x:c r="G407" s="35"/>
      <x:c r="H407" s="35" t="str">
        <x:f>IF(B407="","",IF(COUNTIFS($B$2:B407,B407,$C$2:C407,C407,$D$2:D407,D407)=1,E407-SUMIFS($G$2:$G$1001,$B$2:$B$1001,B407,$C$2:$C$1001,C407,$D$2:$D$1001,D407),0))</x:f>
      </x:c>
    </x:row>
    <x:row r="408" ht="24" customHeight="1">
      <x:c r="A408" s="34"/>
      <x:c r="B408" s="34"/>
      <x:c r="C408" s="34"/>
      <x:c r="D408" s="34"/>
      <x:c r="E408" s="35"/>
      <x:c r="F408" s="35"/>
      <x:c r="G408" s="35"/>
      <x:c r="H408" s="35" t="str">
        <x:f>IF(B408="","",IF(COUNTIFS($B$2:B408,B408,$C$2:C408,C408,$D$2:D408,D408)=1,E408-SUMIFS($G$2:$G$1001,$B$2:$B$1001,B408,$C$2:$C$1001,C408,$D$2:$D$1001,D408),0))</x:f>
      </x:c>
    </x:row>
    <x:row r="409" ht="24" customHeight="1">
      <x:c r="A409" s="34"/>
      <x:c r="B409" s="34"/>
      <x:c r="C409" s="34"/>
      <x:c r="D409" s="34"/>
      <x:c r="E409" s="35"/>
      <x:c r="F409" s="35"/>
      <x:c r="G409" s="35"/>
      <x:c r="H409" s="35" t="str">
        <x:f>IF(B409="","",IF(COUNTIFS($B$2:B409,B409,$C$2:C409,C409,$D$2:D409,D409)=1,E409-SUMIFS($G$2:$G$1001,$B$2:$B$1001,B409,$C$2:$C$1001,C409,$D$2:$D$1001,D409),0))</x:f>
      </x:c>
    </x:row>
    <x:row r="410" ht="24" customHeight="1">
      <x:c r="A410" s="34"/>
      <x:c r="B410" s="34"/>
      <x:c r="C410" s="34"/>
      <x:c r="D410" s="34"/>
      <x:c r="E410" s="35"/>
      <x:c r="F410" s="35"/>
      <x:c r="G410" s="35"/>
      <x:c r="H410" s="35" t="str">
        <x:f>IF(B410="","",IF(COUNTIFS($B$2:B410,B410,$C$2:C410,C410,$D$2:D410,D410)=1,E410-SUMIFS($G$2:$G$1001,$B$2:$B$1001,B410,$C$2:$C$1001,C410,$D$2:$D$1001,D410),0))</x:f>
      </x:c>
    </x:row>
    <x:row r="411" ht="24" customHeight="1">
      <x:c r="A411" s="34"/>
      <x:c r="B411" s="34"/>
      <x:c r="C411" s="34"/>
      <x:c r="D411" s="34"/>
      <x:c r="E411" s="35"/>
      <x:c r="F411" s="35"/>
      <x:c r="G411" s="35"/>
      <x:c r="H411" s="35" t="str">
        <x:f>IF(B411="","",IF(COUNTIFS($B$2:B411,B411,$C$2:C411,C411,$D$2:D411,D411)=1,E411-SUMIFS($G$2:$G$1001,$B$2:$B$1001,B411,$C$2:$C$1001,C411,$D$2:$D$1001,D411),0))</x:f>
      </x:c>
    </x:row>
    <x:row r="412" ht="24" customHeight="1">
      <x:c r="A412" s="34"/>
      <x:c r="B412" s="34"/>
      <x:c r="C412" s="34"/>
      <x:c r="D412" s="34"/>
      <x:c r="E412" s="35"/>
      <x:c r="F412" s="35"/>
      <x:c r="G412" s="35"/>
      <x:c r="H412" s="35" t="str">
        <x:f>IF(B412="","",IF(COUNTIFS($B$2:B412,B412,$C$2:C412,C412,$D$2:D412,D412)=1,E412-SUMIFS($G$2:$G$1001,$B$2:$B$1001,B412,$C$2:$C$1001,C412,$D$2:$D$1001,D412),0))</x:f>
      </x:c>
    </x:row>
    <x:row r="413" ht="24" customHeight="1">
      <x:c r="A413" s="34"/>
      <x:c r="B413" s="34"/>
      <x:c r="C413" s="34"/>
      <x:c r="D413" s="34"/>
      <x:c r="E413" s="35"/>
      <x:c r="F413" s="35"/>
      <x:c r="G413" s="35"/>
      <x:c r="H413" s="35" t="str">
        <x:f>IF(B413="","",IF(COUNTIFS($B$2:B413,B413,$C$2:C413,C413,$D$2:D413,D413)=1,E413-SUMIFS($G$2:$G$1001,$B$2:$B$1001,B413,$C$2:$C$1001,C413,$D$2:$D$1001,D413),0))</x:f>
      </x:c>
    </x:row>
    <x:row r="414" ht="24" customHeight="1">
      <x:c r="A414" s="34"/>
      <x:c r="B414" s="34"/>
      <x:c r="C414" s="34"/>
      <x:c r="D414" s="34"/>
      <x:c r="E414" s="35"/>
      <x:c r="F414" s="35"/>
      <x:c r="G414" s="35"/>
      <x:c r="H414" s="35" t="str">
        <x:f>IF(B414="","",IF(COUNTIFS($B$2:B414,B414,$C$2:C414,C414,$D$2:D414,D414)=1,E414-SUMIFS($G$2:$G$1001,$B$2:$B$1001,B414,$C$2:$C$1001,C414,$D$2:$D$1001,D414),0))</x:f>
      </x:c>
    </x:row>
    <x:row r="415" ht="24" customHeight="1">
      <x:c r="A415" s="34"/>
      <x:c r="B415" s="34"/>
      <x:c r="C415" s="34"/>
      <x:c r="D415" s="34"/>
      <x:c r="E415" s="35"/>
      <x:c r="F415" s="35"/>
      <x:c r="G415" s="35"/>
      <x:c r="H415" s="35" t="str">
        <x:f>IF(B415="","",IF(COUNTIFS($B$2:B415,B415,$C$2:C415,C415,$D$2:D415,D415)=1,E415-SUMIFS($G$2:$G$1001,$B$2:$B$1001,B415,$C$2:$C$1001,C415,$D$2:$D$1001,D415),0))</x:f>
      </x:c>
    </x:row>
    <x:row r="416" ht="24" customHeight="1">
      <x:c r="A416" s="34"/>
      <x:c r="B416" s="34"/>
      <x:c r="C416" s="34"/>
      <x:c r="D416" s="34"/>
      <x:c r="E416" s="35"/>
      <x:c r="F416" s="35"/>
      <x:c r="G416" s="35"/>
      <x:c r="H416" s="35" t="str">
        <x:f>IF(B416="","",IF(COUNTIFS($B$2:B416,B416,$C$2:C416,C416,$D$2:D416,D416)=1,E416-SUMIFS($G$2:$G$1001,$B$2:$B$1001,B416,$C$2:$C$1001,C416,$D$2:$D$1001,D416),0))</x:f>
      </x:c>
    </x:row>
    <x:row r="417" ht="24" customHeight="1">
      <x:c r="A417" s="34"/>
      <x:c r="B417" s="34"/>
      <x:c r="C417" s="34"/>
      <x:c r="D417" s="34"/>
      <x:c r="E417" s="35"/>
      <x:c r="F417" s="35"/>
      <x:c r="G417" s="35"/>
      <x:c r="H417" s="35" t="str">
        <x:f>IF(B417="","",IF(COUNTIFS($B$2:B417,B417,$C$2:C417,C417,$D$2:D417,D417)=1,E417-SUMIFS($G$2:$G$1001,$B$2:$B$1001,B417,$C$2:$C$1001,C417,$D$2:$D$1001,D417),0))</x:f>
      </x:c>
    </x:row>
    <x:row r="418" ht="24" customHeight="1">
      <x:c r="A418" s="34"/>
      <x:c r="B418" s="34"/>
      <x:c r="C418" s="34"/>
      <x:c r="D418" s="34"/>
      <x:c r="E418" s="35"/>
      <x:c r="F418" s="35"/>
      <x:c r="G418" s="35"/>
      <x:c r="H418" s="35" t="str">
        <x:f>IF(B418="","",IF(COUNTIFS($B$2:B418,B418,$C$2:C418,C418,$D$2:D418,D418)=1,E418-SUMIFS($G$2:$G$1001,$B$2:$B$1001,B418,$C$2:$C$1001,C418,$D$2:$D$1001,D418),0))</x:f>
      </x:c>
    </x:row>
    <x:row r="419" ht="24" customHeight="1">
      <x:c r="A419" s="34"/>
      <x:c r="B419" s="34"/>
      <x:c r="C419" s="34"/>
      <x:c r="D419" s="34"/>
      <x:c r="E419" s="35"/>
      <x:c r="F419" s="35"/>
      <x:c r="G419" s="35"/>
      <x:c r="H419" s="35" t="str">
        <x:f>IF(B419="","",IF(COUNTIFS($B$2:B419,B419,$C$2:C419,C419,$D$2:D419,D419)=1,E419-SUMIFS($G$2:$G$1001,$B$2:$B$1001,B419,$C$2:$C$1001,C419,$D$2:$D$1001,D419),0))</x:f>
      </x:c>
    </x:row>
    <x:row r="420" ht="24" customHeight="1">
      <x:c r="A420" s="34"/>
      <x:c r="B420" s="34"/>
      <x:c r="C420" s="34"/>
      <x:c r="D420" s="34"/>
      <x:c r="E420" s="35"/>
      <x:c r="F420" s="35"/>
      <x:c r="G420" s="35"/>
      <x:c r="H420" s="35" t="str">
        <x:f>IF(B420="","",IF(COUNTIFS($B$2:B420,B420,$C$2:C420,C420,$D$2:D420,D420)=1,E420-SUMIFS($G$2:$G$1001,$B$2:$B$1001,B420,$C$2:$C$1001,C420,$D$2:$D$1001,D420),0))</x:f>
      </x:c>
    </x:row>
    <x:row r="421" ht="24" customHeight="1">
      <x:c r="A421" s="34"/>
      <x:c r="B421" s="34"/>
      <x:c r="C421" s="34"/>
      <x:c r="D421" s="34"/>
      <x:c r="E421" s="35"/>
      <x:c r="F421" s="35"/>
      <x:c r="G421" s="35"/>
      <x:c r="H421" s="35" t="str">
        <x:f>IF(B421="","",IF(COUNTIFS($B$2:B421,B421,$C$2:C421,C421,$D$2:D421,D421)=1,E421-SUMIFS($G$2:$G$1001,$B$2:$B$1001,B421,$C$2:$C$1001,C421,$D$2:$D$1001,D421),0))</x:f>
      </x:c>
    </x:row>
    <x:row r="422" ht="24" customHeight="1">
      <x:c r="A422" s="34"/>
      <x:c r="B422" s="34"/>
      <x:c r="C422" s="34"/>
      <x:c r="D422" s="34"/>
      <x:c r="E422" s="35"/>
      <x:c r="F422" s="35"/>
      <x:c r="G422" s="35"/>
      <x:c r="H422" s="35" t="str">
        <x:f>IF(B422="","",IF(COUNTIFS($B$2:B422,B422,$C$2:C422,C422,$D$2:D422,D422)=1,E422-SUMIFS($G$2:$G$1001,$B$2:$B$1001,B422,$C$2:$C$1001,C422,$D$2:$D$1001,D422),0))</x:f>
      </x:c>
    </x:row>
    <x:row r="423" ht="24" customHeight="1">
      <x:c r="A423" s="34"/>
      <x:c r="B423" s="34"/>
      <x:c r="C423" s="34"/>
      <x:c r="D423" s="34"/>
      <x:c r="E423" s="35"/>
      <x:c r="F423" s="35"/>
      <x:c r="G423" s="35"/>
      <x:c r="H423" s="35" t="str">
        <x:f>IF(B423="","",IF(COUNTIFS($B$2:B423,B423,$C$2:C423,C423,$D$2:D423,D423)=1,E423-SUMIFS($G$2:$G$1001,$B$2:$B$1001,B423,$C$2:$C$1001,C423,$D$2:$D$1001,D423),0))</x:f>
      </x:c>
    </x:row>
    <x:row r="424" ht="24" customHeight="1">
      <x:c r="A424" s="34"/>
      <x:c r="B424" s="34"/>
      <x:c r="C424" s="34"/>
      <x:c r="D424" s="34"/>
      <x:c r="E424" s="35"/>
      <x:c r="F424" s="35"/>
      <x:c r="G424" s="35"/>
      <x:c r="H424" s="35" t="str">
        <x:f>IF(B424="","",IF(COUNTIFS($B$2:B424,B424,$C$2:C424,C424,$D$2:D424,D424)=1,E424-SUMIFS($G$2:$G$1001,$B$2:$B$1001,B424,$C$2:$C$1001,C424,$D$2:$D$1001,D424),0))</x:f>
      </x:c>
    </x:row>
    <x:row r="425" ht="24" customHeight="1">
      <x:c r="A425" s="34"/>
      <x:c r="B425" s="34"/>
      <x:c r="C425" s="34"/>
      <x:c r="D425" s="34"/>
      <x:c r="E425" s="35"/>
      <x:c r="F425" s="35"/>
      <x:c r="G425" s="35"/>
      <x:c r="H425" s="35" t="str">
        <x:f>IF(B425="","",IF(COUNTIFS($B$2:B425,B425,$C$2:C425,C425,$D$2:D425,D425)=1,E425-SUMIFS($G$2:$G$1001,$B$2:$B$1001,B425,$C$2:$C$1001,C425,$D$2:$D$1001,D425),0))</x:f>
      </x:c>
    </x:row>
    <x:row r="426" ht="24" customHeight="1">
      <x:c r="A426" s="34"/>
      <x:c r="B426" s="34"/>
      <x:c r="C426" s="34"/>
      <x:c r="D426" s="34"/>
      <x:c r="E426" s="35"/>
      <x:c r="F426" s="35"/>
      <x:c r="G426" s="35"/>
      <x:c r="H426" s="35" t="str">
        <x:f>IF(B426="","",IF(COUNTIFS($B$2:B426,B426,$C$2:C426,C426,$D$2:D426,D426)=1,E426-SUMIFS($G$2:$G$1001,$B$2:$B$1001,B426,$C$2:$C$1001,C426,$D$2:$D$1001,D426),0))</x:f>
      </x:c>
    </x:row>
    <x:row r="427" ht="24" customHeight="1">
      <x:c r="A427" s="34"/>
      <x:c r="B427" s="34"/>
      <x:c r="C427" s="34"/>
      <x:c r="D427" s="34"/>
      <x:c r="E427" s="35"/>
      <x:c r="F427" s="35"/>
      <x:c r="G427" s="35"/>
      <x:c r="H427" s="35" t="str">
        <x:f>IF(B427="","",IF(COUNTIFS($B$2:B427,B427,$C$2:C427,C427,$D$2:D427,D427)=1,E427-SUMIFS($G$2:$G$1001,$B$2:$B$1001,B427,$C$2:$C$1001,C427,$D$2:$D$1001,D427),0))</x:f>
      </x:c>
    </x:row>
    <x:row r="428" ht="24" customHeight="1">
      <x:c r="A428" s="34"/>
      <x:c r="B428" s="34"/>
      <x:c r="C428" s="34"/>
      <x:c r="D428" s="34"/>
      <x:c r="E428" s="35"/>
      <x:c r="F428" s="35"/>
      <x:c r="G428" s="35"/>
      <x:c r="H428" s="35" t="str">
        <x:f>IF(B428="","",IF(COUNTIFS($B$2:B428,B428,$C$2:C428,C428,$D$2:D428,D428)=1,E428-SUMIFS($G$2:$G$1001,$B$2:$B$1001,B428,$C$2:$C$1001,C428,$D$2:$D$1001,D428),0))</x:f>
      </x:c>
    </x:row>
    <x:row r="429" ht="24" customHeight="1">
      <x:c r="A429" s="34"/>
      <x:c r="B429" s="34"/>
      <x:c r="C429" s="34"/>
      <x:c r="D429" s="34"/>
      <x:c r="E429" s="35"/>
      <x:c r="F429" s="35"/>
      <x:c r="G429" s="35"/>
      <x:c r="H429" s="35" t="str">
        <x:f>IF(B429="","",IF(COUNTIFS($B$2:B429,B429,$C$2:C429,C429,$D$2:D429,D429)=1,E429-SUMIFS($G$2:$G$1001,$B$2:$B$1001,B429,$C$2:$C$1001,C429,$D$2:$D$1001,D429),0))</x:f>
      </x:c>
    </x:row>
    <x:row r="430" ht="24" customHeight="1">
      <x:c r="A430" s="34"/>
      <x:c r="B430" s="34"/>
      <x:c r="C430" s="34"/>
      <x:c r="D430" s="34"/>
      <x:c r="E430" s="35"/>
      <x:c r="F430" s="35"/>
      <x:c r="G430" s="35"/>
      <x:c r="H430" s="35" t="str">
        <x:f>IF(B430="","",IF(COUNTIFS($B$2:B430,B430,$C$2:C430,C430,$D$2:D430,D430)=1,E430-SUMIFS($G$2:$G$1001,$B$2:$B$1001,B430,$C$2:$C$1001,C430,$D$2:$D$1001,D430),0))</x:f>
      </x:c>
    </x:row>
    <x:row r="431" ht="24" customHeight="1">
      <x:c r="A431" s="34"/>
      <x:c r="B431" s="34"/>
      <x:c r="C431" s="34"/>
      <x:c r="D431" s="34"/>
      <x:c r="E431" s="35"/>
      <x:c r="F431" s="35"/>
      <x:c r="G431" s="35"/>
      <x:c r="H431" s="35" t="str">
        <x:f>IF(B431="","",IF(COUNTIFS($B$2:B431,B431,$C$2:C431,C431,$D$2:D431,D431)=1,E431-SUMIFS($G$2:$G$1001,$B$2:$B$1001,B431,$C$2:$C$1001,C431,$D$2:$D$1001,D431),0))</x:f>
      </x:c>
    </x:row>
    <x:row r="432" ht="24" customHeight="1">
      <x:c r="A432" s="34"/>
      <x:c r="B432" s="34"/>
      <x:c r="C432" s="34"/>
      <x:c r="D432" s="34"/>
      <x:c r="E432" s="35"/>
      <x:c r="F432" s="35"/>
      <x:c r="G432" s="35"/>
      <x:c r="H432" s="35" t="str">
        <x:f>IF(B432="","",IF(COUNTIFS($B$2:B432,B432,$C$2:C432,C432,$D$2:D432,D432)=1,E432-SUMIFS($G$2:$G$1001,$B$2:$B$1001,B432,$C$2:$C$1001,C432,$D$2:$D$1001,D432),0))</x:f>
      </x:c>
    </x:row>
    <x:row r="433" ht="24" customHeight="1">
      <x:c r="A433" s="34"/>
      <x:c r="B433" s="34"/>
      <x:c r="C433" s="34"/>
      <x:c r="D433" s="34"/>
      <x:c r="E433" s="35"/>
      <x:c r="F433" s="35"/>
      <x:c r="G433" s="35"/>
      <x:c r="H433" s="35" t="str">
        <x:f>IF(B433="","",IF(COUNTIFS($B$2:B433,B433,$C$2:C433,C433,$D$2:D433,D433)=1,E433-SUMIFS($G$2:$G$1001,$B$2:$B$1001,B433,$C$2:$C$1001,C433,$D$2:$D$1001,D433),0))</x:f>
      </x:c>
    </x:row>
    <x:row r="434" ht="24" customHeight="1">
      <x:c r="A434" s="34"/>
      <x:c r="B434" s="34"/>
      <x:c r="C434" s="34"/>
      <x:c r="D434" s="34"/>
      <x:c r="E434" s="35"/>
      <x:c r="F434" s="35"/>
      <x:c r="G434" s="35"/>
      <x:c r="H434" s="35" t="str">
        <x:f>IF(B434="","",IF(COUNTIFS($B$2:B434,B434,$C$2:C434,C434,$D$2:D434,D434)=1,E434-SUMIFS($G$2:$G$1001,$B$2:$B$1001,B434,$C$2:$C$1001,C434,$D$2:$D$1001,D434),0))</x:f>
      </x:c>
    </x:row>
    <x:row r="435" ht="24" customHeight="1">
      <x:c r="A435" s="34"/>
      <x:c r="B435" s="34"/>
      <x:c r="C435" s="34"/>
      <x:c r="D435" s="34"/>
      <x:c r="E435" s="35"/>
      <x:c r="F435" s="35"/>
      <x:c r="G435" s="35"/>
      <x:c r="H435" s="35" t="str">
        <x:f>IF(B435="","",IF(COUNTIFS($B$2:B435,B435,$C$2:C435,C435,$D$2:D435,D435)=1,E435-SUMIFS($G$2:$G$1001,$B$2:$B$1001,B435,$C$2:$C$1001,C435,$D$2:$D$1001,D435),0))</x:f>
      </x:c>
    </x:row>
    <x:row r="436" ht="24" customHeight="1">
      <x:c r="A436" s="34"/>
      <x:c r="B436" s="34"/>
      <x:c r="C436" s="34"/>
      <x:c r="D436" s="34"/>
      <x:c r="E436" s="35"/>
      <x:c r="F436" s="35"/>
      <x:c r="G436" s="35"/>
      <x:c r="H436" s="35" t="str">
        <x:f>IF(B436="","",IF(COUNTIFS($B$2:B436,B436,$C$2:C436,C436,$D$2:D436,D436)=1,E436-SUMIFS($G$2:$G$1001,$B$2:$B$1001,B436,$C$2:$C$1001,C436,$D$2:$D$1001,D436),0))</x:f>
      </x:c>
    </x:row>
    <x:row r="437" ht="24" customHeight="1">
      <x:c r="A437" s="34"/>
      <x:c r="B437" s="34"/>
      <x:c r="C437" s="34"/>
      <x:c r="D437" s="34"/>
      <x:c r="E437" s="35"/>
      <x:c r="F437" s="35"/>
      <x:c r="G437" s="35"/>
      <x:c r="H437" s="35" t="str">
        <x:f>IF(B437="","",IF(COUNTIFS($B$2:B437,B437,$C$2:C437,C437,$D$2:D437,D437)=1,E437-SUMIFS($G$2:$G$1001,$B$2:$B$1001,B437,$C$2:$C$1001,C437,$D$2:$D$1001,D437),0))</x:f>
      </x:c>
    </x:row>
    <x:row r="438" ht="24" customHeight="1">
      <x:c r="A438" s="34"/>
      <x:c r="B438" s="34"/>
      <x:c r="C438" s="34"/>
      <x:c r="D438" s="34"/>
      <x:c r="E438" s="35"/>
      <x:c r="F438" s="35"/>
      <x:c r="G438" s="35"/>
      <x:c r="H438" s="35" t="str">
        <x:f>IF(B438="","",IF(COUNTIFS($B$2:B438,B438,$C$2:C438,C438,$D$2:D438,D438)=1,E438-SUMIFS($G$2:$G$1001,$B$2:$B$1001,B438,$C$2:$C$1001,C438,$D$2:$D$1001,D438),0))</x:f>
      </x:c>
    </x:row>
    <x:row r="439" ht="24" customHeight="1">
      <x:c r="A439" s="34"/>
      <x:c r="B439" s="34"/>
      <x:c r="C439" s="34"/>
      <x:c r="D439" s="34"/>
      <x:c r="E439" s="35"/>
      <x:c r="F439" s="35"/>
      <x:c r="G439" s="35"/>
      <x:c r="H439" s="35" t="str">
        <x:f>IF(B439="","",IF(COUNTIFS($B$2:B439,B439,$C$2:C439,C439,$D$2:D439,D439)=1,E439-SUMIFS($G$2:$G$1001,$B$2:$B$1001,B439,$C$2:$C$1001,C439,$D$2:$D$1001,D439),0))</x:f>
      </x:c>
    </x:row>
    <x:row r="440" ht="24" customHeight="1">
      <x:c r="A440" s="34"/>
      <x:c r="B440" s="34"/>
      <x:c r="C440" s="34"/>
      <x:c r="D440" s="34"/>
      <x:c r="E440" s="35"/>
      <x:c r="F440" s="35"/>
      <x:c r="G440" s="35"/>
      <x:c r="H440" s="35" t="str">
        <x:f>IF(B440="","",IF(COUNTIFS($B$2:B440,B440,$C$2:C440,C440,$D$2:D440,D440)=1,E440-SUMIFS($G$2:$G$1001,$B$2:$B$1001,B440,$C$2:$C$1001,C440,$D$2:$D$1001,D440),0))</x:f>
      </x:c>
    </x:row>
    <x:row r="441" ht="24" customHeight="1">
      <x:c r="A441" s="34"/>
      <x:c r="B441" s="34"/>
      <x:c r="C441" s="34"/>
      <x:c r="D441" s="34"/>
      <x:c r="E441" s="35"/>
      <x:c r="F441" s="35"/>
      <x:c r="G441" s="35"/>
      <x:c r="H441" s="35" t="str">
        <x:f>IF(B441="","",IF(COUNTIFS($B$2:B441,B441,$C$2:C441,C441,$D$2:D441,D441)=1,E441-SUMIFS($G$2:$G$1001,$B$2:$B$1001,B441,$C$2:$C$1001,C441,$D$2:$D$1001,D441),0))</x:f>
      </x:c>
    </x:row>
    <x:row r="442" ht="24" customHeight="1">
      <x:c r="A442" s="34"/>
      <x:c r="B442" s="34"/>
      <x:c r="C442" s="34"/>
      <x:c r="D442" s="34"/>
      <x:c r="E442" s="35"/>
      <x:c r="F442" s="35"/>
      <x:c r="G442" s="35"/>
      <x:c r="H442" s="35" t="str">
        <x:f>IF(B442="","",IF(COUNTIFS($B$2:B442,B442,$C$2:C442,C442,$D$2:D442,D442)=1,E442-SUMIFS($G$2:$G$1001,$B$2:$B$1001,B442,$C$2:$C$1001,C442,$D$2:$D$1001,D442),0))</x:f>
      </x:c>
    </x:row>
    <x:row r="443" ht="24" customHeight="1">
      <x:c r="A443" s="34"/>
      <x:c r="B443" s="34"/>
      <x:c r="C443" s="34"/>
      <x:c r="D443" s="34"/>
      <x:c r="E443" s="35"/>
      <x:c r="F443" s="35"/>
      <x:c r="G443" s="35"/>
      <x:c r="H443" s="35" t="str">
        <x:f>IF(B443="","",IF(COUNTIFS($B$2:B443,B443,$C$2:C443,C443,$D$2:D443,D443)=1,E443-SUMIFS($G$2:$G$1001,$B$2:$B$1001,B443,$C$2:$C$1001,C443,$D$2:$D$1001,D443),0))</x:f>
      </x:c>
    </x:row>
    <x:row r="444" ht="24" customHeight="1">
      <x:c r="A444" s="34"/>
      <x:c r="B444" s="34"/>
      <x:c r="C444" s="34"/>
      <x:c r="D444" s="34"/>
      <x:c r="E444" s="35"/>
      <x:c r="F444" s="35"/>
      <x:c r="G444" s="35"/>
      <x:c r="H444" s="35" t="str">
        <x:f>IF(B444="","",IF(COUNTIFS($B$2:B444,B444,$C$2:C444,C444,$D$2:D444,D444)=1,E444-SUMIFS($G$2:$G$1001,$B$2:$B$1001,B444,$C$2:$C$1001,C444,$D$2:$D$1001,D444),0))</x:f>
      </x:c>
    </x:row>
    <x:row r="445" ht="24" customHeight="1">
      <x:c r="A445" s="34"/>
      <x:c r="B445" s="34"/>
      <x:c r="C445" s="34"/>
      <x:c r="D445" s="34"/>
      <x:c r="E445" s="35"/>
      <x:c r="F445" s="35"/>
      <x:c r="G445" s="35"/>
      <x:c r="H445" s="35" t="str">
        <x:f>IF(B445="","",IF(COUNTIFS($B$2:B445,B445,$C$2:C445,C445,$D$2:D445,D445)=1,E445-SUMIFS($G$2:$G$1001,$B$2:$B$1001,B445,$C$2:$C$1001,C445,$D$2:$D$1001,D445),0))</x:f>
      </x:c>
    </x:row>
    <x:row r="446" ht="24" customHeight="1">
      <x:c r="A446" s="34"/>
      <x:c r="B446" s="34"/>
      <x:c r="C446" s="34"/>
      <x:c r="D446" s="34"/>
      <x:c r="E446" s="35"/>
      <x:c r="F446" s="35"/>
      <x:c r="G446" s="35"/>
      <x:c r="H446" s="35" t="str">
        <x:f>IF(B446="","",IF(COUNTIFS($B$2:B446,B446,$C$2:C446,C446,$D$2:D446,D446)=1,E446-SUMIFS($G$2:$G$1001,$B$2:$B$1001,B446,$C$2:$C$1001,C446,$D$2:$D$1001,D446),0))</x:f>
      </x:c>
    </x:row>
    <x:row r="447" ht="24" customHeight="1">
      <x:c r="A447" s="34"/>
      <x:c r="B447" s="34"/>
      <x:c r="C447" s="34"/>
      <x:c r="D447" s="34"/>
      <x:c r="E447" s="35"/>
      <x:c r="F447" s="35"/>
      <x:c r="G447" s="35"/>
      <x:c r="H447" s="35" t="str">
        <x:f>IF(B447="","",IF(COUNTIFS($B$2:B447,B447,$C$2:C447,C447,$D$2:D447,D447)=1,E447-SUMIFS($G$2:$G$1001,$B$2:$B$1001,B447,$C$2:$C$1001,C447,$D$2:$D$1001,D447),0))</x:f>
      </x:c>
    </x:row>
    <x:row r="448" ht="24" customHeight="1">
      <x:c r="A448" s="34"/>
      <x:c r="B448" s="34"/>
      <x:c r="C448" s="34"/>
      <x:c r="D448" s="34"/>
      <x:c r="E448" s="35"/>
      <x:c r="F448" s="35"/>
      <x:c r="G448" s="35"/>
      <x:c r="H448" s="35" t="str">
        <x:f>IF(B448="","",IF(COUNTIFS($B$2:B448,B448,$C$2:C448,C448,$D$2:D448,D448)=1,E448-SUMIFS($G$2:$G$1001,$B$2:$B$1001,B448,$C$2:$C$1001,C448,$D$2:$D$1001,D448),0))</x:f>
      </x:c>
    </x:row>
    <x:row r="449" ht="24" customHeight="1">
      <x:c r="A449" s="34"/>
      <x:c r="B449" s="34"/>
      <x:c r="C449" s="34"/>
      <x:c r="D449" s="34"/>
      <x:c r="E449" s="35"/>
      <x:c r="F449" s="35"/>
      <x:c r="G449" s="35"/>
      <x:c r="H449" s="35" t="str">
        <x:f>IF(B449="","",IF(COUNTIFS($B$2:B449,B449,$C$2:C449,C449,$D$2:D449,D449)=1,E449-SUMIFS($G$2:$G$1001,$B$2:$B$1001,B449,$C$2:$C$1001,C449,$D$2:$D$1001,D449),0))</x:f>
      </x:c>
    </x:row>
    <x:row r="450" ht="24" customHeight="1">
      <x:c r="A450" s="34"/>
      <x:c r="B450" s="34"/>
      <x:c r="C450" s="34"/>
      <x:c r="D450" s="34"/>
      <x:c r="E450" s="35"/>
      <x:c r="F450" s="35"/>
      <x:c r="G450" s="35"/>
      <x:c r="H450" s="35" t="str">
        <x:f>IF(B450="","",IF(COUNTIFS($B$2:B450,B450,$C$2:C450,C450,$D$2:D450,D450)=1,E450-SUMIFS($G$2:$G$1001,$B$2:$B$1001,B450,$C$2:$C$1001,C450,$D$2:$D$1001,D450),0))</x:f>
      </x:c>
    </x:row>
    <x:row r="451" ht="24" customHeight="1">
      <x:c r="A451" s="34"/>
      <x:c r="B451" s="34"/>
      <x:c r="C451" s="34"/>
      <x:c r="D451" s="34"/>
      <x:c r="E451" s="35"/>
      <x:c r="F451" s="35"/>
      <x:c r="G451" s="35"/>
      <x:c r="H451" s="35" t="str">
        <x:f>IF(B451="","",IF(COUNTIFS($B$2:B451,B451,$C$2:C451,C451,$D$2:D451,D451)=1,E451-SUMIFS($G$2:$G$1001,$B$2:$B$1001,B451,$C$2:$C$1001,C451,$D$2:$D$1001,D451),0))</x:f>
      </x:c>
    </x:row>
    <x:row r="452" ht="24" customHeight="1">
      <x:c r="A452" s="34"/>
      <x:c r="B452" s="34"/>
      <x:c r="C452" s="34"/>
      <x:c r="D452" s="34"/>
      <x:c r="E452" s="35"/>
      <x:c r="F452" s="35"/>
      <x:c r="G452" s="35"/>
      <x:c r="H452" s="35" t="str">
        <x:f>IF(B452="","",IF(COUNTIFS($B$2:B452,B452,$C$2:C452,C452,$D$2:D452,D452)=1,E452-SUMIFS($G$2:$G$1001,$B$2:$B$1001,B452,$C$2:$C$1001,C452,$D$2:$D$1001,D452),0))</x:f>
      </x:c>
    </x:row>
    <x:row r="453" ht="24" customHeight="1">
      <x:c r="A453" s="34"/>
      <x:c r="B453" s="34"/>
      <x:c r="C453" s="34"/>
      <x:c r="D453" s="34"/>
      <x:c r="E453" s="35"/>
      <x:c r="F453" s="35"/>
      <x:c r="G453" s="35"/>
      <x:c r="H453" s="35" t="str">
        <x:f>IF(B453="","",IF(COUNTIFS($B$2:B453,B453,$C$2:C453,C453,$D$2:D453,D453)=1,E453-SUMIFS($G$2:$G$1001,$B$2:$B$1001,B453,$C$2:$C$1001,C453,$D$2:$D$1001,D453),0))</x:f>
      </x:c>
    </x:row>
    <x:row r="454" ht="24" customHeight="1">
      <x:c r="A454" s="34"/>
      <x:c r="B454" s="34"/>
      <x:c r="C454" s="34"/>
      <x:c r="D454" s="34"/>
      <x:c r="E454" s="35"/>
      <x:c r="F454" s="35"/>
      <x:c r="G454" s="35"/>
      <x:c r="H454" s="35" t="str">
        <x:f>IF(B454="","",IF(COUNTIFS($B$2:B454,B454,$C$2:C454,C454,$D$2:D454,D454)=1,E454-SUMIFS($G$2:$G$1001,$B$2:$B$1001,B454,$C$2:$C$1001,C454,$D$2:$D$1001,D454),0))</x:f>
      </x:c>
    </x:row>
    <x:row r="455" ht="24" customHeight="1">
      <x:c r="A455" s="34"/>
      <x:c r="B455" s="34"/>
      <x:c r="C455" s="34"/>
      <x:c r="D455" s="34"/>
      <x:c r="E455" s="35"/>
      <x:c r="F455" s="35"/>
      <x:c r="G455" s="35"/>
      <x:c r="H455" s="35" t="str">
        <x:f>IF(B455="","",IF(COUNTIFS($B$2:B455,B455,$C$2:C455,C455,$D$2:D455,D455)=1,E455-SUMIFS($G$2:$G$1001,$B$2:$B$1001,B455,$C$2:$C$1001,C455,$D$2:$D$1001,D455),0))</x:f>
      </x:c>
    </x:row>
    <x:row r="456" ht="24" customHeight="1">
      <x:c r="A456" s="34"/>
      <x:c r="B456" s="34"/>
      <x:c r="C456" s="34"/>
      <x:c r="D456" s="34"/>
      <x:c r="E456" s="35"/>
      <x:c r="F456" s="35"/>
      <x:c r="G456" s="35"/>
      <x:c r="H456" s="35" t="str">
        <x:f>IF(B456="","",IF(COUNTIFS($B$2:B456,B456,$C$2:C456,C456,$D$2:D456,D456)=1,E456-SUMIFS($G$2:$G$1001,$B$2:$B$1001,B456,$C$2:$C$1001,C456,$D$2:$D$1001,D456),0))</x:f>
      </x:c>
    </x:row>
    <x:row r="457" ht="24" customHeight="1">
      <x:c r="A457" s="34"/>
      <x:c r="B457" s="34"/>
      <x:c r="C457" s="34"/>
      <x:c r="D457" s="34"/>
      <x:c r="E457" s="35"/>
      <x:c r="F457" s="35"/>
      <x:c r="G457" s="35"/>
      <x:c r="H457" s="35" t="str">
        <x:f>IF(B457="","",IF(COUNTIFS($B$2:B457,B457,$C$2:C457,C457,$D$2:D457,D457)=1,E457-SUMIFS($G$2:$G$1001,$B$2:$B$1001,B457,$C$2:$C$1001,C457,$D$2:$D$1001,D457),0))</x:f>
      </x:c>
    </x:row>
    <x:row r="458" ht="24" customHeight="1">
      <x:c r="A458" s="34"/>
      <x:c r="B458" s="34"/>
      <x:c r="C458" s="34"/>
      <x:c r="D458" s="34"/>
      <x:c r="E458" s="35"/>
      <x:c r="F458" s="35"/>
      <x:c r="G458" s="35"/>
      <x:c r="H458" s="35" t="str">
        <x:f>IF(B458="","",IF(COUNTIFS($B$2:B458,B458,$C$2:C458,C458,$D$2:D458,D458)=1,E458-SUMIFS($G$2:$G$1001,$B$2:$B$1001,B458,$C$2:$C$1001,C458,$D$2:$D$1001,D458),0))</x:f>
      </x:c>
    </x:row>
    <x:row r="459" ht="24" customHeight="1">
      <x:c r="A459" s="34"/>
      <x:c r="B459" s="34"/>
      <x:c r="C459" s="34"/>
      <x:c r="D459" s="34"/>
      <x:c r="E459" s="35"/>
      <x:c r="F459" s="35"/>
      <x:c r="G459" s="35"/>
      <x:c r="H459" s="35" t="str">
        <x:f>IF(B459="","",IF(COUNTIFS($B$2:B459,B459,$C$2:C459,C459,$D$2:D459,D459)=1,E459-SUMIFS($G$2:$G$1001,$B$2:$B$1001,B459,$C$2:$C$1001,C459,$D$2:$D$1001,D459),0))</x:f>
      </x:c>
    </x:row>
    <x:row r="460" ht="24" customHeight="1">
      <x:c r="A460" s="34"/>
      <x:c r="B460" s="34"/>
      <x:c r="C460" s="34"/>
      <x:c r="D460" s="34"/>
      <x:c r="E460" s="35"/>
      <x:c r="F460" s="35"/>
      <x:c r="G460" s="35"/>
      <x:c r="H460" s="35" t="str">
        <x:f>IF(B460="","",IF(COUNTIFS($B$2:B460,B460,$C$2:C460,C460,$D$2:D460,D460)=1,E460-SUMIFS($G$2:$G$1001,$B$2:$B$1001,B460,$C$2:$C$1001,C460,$D$2:$D$1001,D460),0))</x:f>
      </x:c>
    </x:row>
    <x:row r="461" ht="24" customHeight="1">
      <x:c r="A461" s="34"/>
      <x:c r="B461" s="34"/>
      <x:c r="C461" s="34"/>
      <x:c r="D461" s="34"/>
      <x:c r="E461" s="35"/>
      <x:c r="F461" s="35"/>
      <x:c r="G461" s="35"/>
      <x:c r="H461" s="35" t="str">
        <x:f>IF(B461="","",IF(COUNTIFS($B$2:B461,B461,$C$2:C461,C461,$D$2:D461,D461)=1,E461-SUMIFS($G$2:$G$1001,$B$2:$B$1001,B461,$C$2:$C$1001,C461,$D$2:$D$1001,D461),0))</x:f>
      </x:c>
    </x:row>
    <x:row r="462" ht="24" customHeight="1">
      <x:c r="A462" s="34"/>
      <x:c r="B462" s="34"/>
      <x:c r="C462" s="34"/>
      <x:c r="D462" s="34"/>
      <x:c r="E462" s="35"/>
      <x:c r="F462" s="35"/>
      <x:c r="G462" s="35"/>
      <x:c r="H462" s="35" t="str">
        <x:f>IF(B462="","",IF(COUNTIFS($B$2:B462,B462,$C$2:C462,C462,$D$2:D462,D462)=1,E462-SUMIFS($G$2:$G$1001,$B$2:$B$1001,B462,$C$2:$C$1001,C462,$D$2:$D$1001,D462),0))</x:f>
      </x:c>
    </x:row>
    <x:row r="463" ht="24" customHeight="1">
      <x:c r="A463" s="34"/>
      <x:c r="B463" s="34"/>
      <x:c r="C463" s="34"/>
      <x:c r="D463" s="34"/>
      <x:c r="E463" s="35"/>
      <x:c r="F463" s="35"/>
      <x:c r="G463" s="35"/>
      <x:c r="H463" s="35" t="str">
        <x:f>IF(B463="","",IF(COUNTIFS($B$2:B463,B463,$C$2:C463,C463,$D$2:D463,D463)=1,E463-SUMIFS($G$2:$G$1001,$B$2:$B$1001,B463,$C$2:$C$1001,C463,$D$2:$D$1001,D463),0))</x:f>
      </x:c>
    </x:row>
    <x:row r="464" ht="24" customHeight="1">
      <x:c r="A464" s="34"/>
      <x:c r="B464" s="34"/>
      <x:c r="C464" s="34"/>
      <x:c r="D464" s="34"/>
      <x:c r="E464" s="35"/>
      <x:c r="F464" s="35"/>
      <x:c r="G464" s="35"/>
      <x:c r="H464" s="35" t="str">
        <x:f>IF(B464="","",IF(COUNTIFS($B$2:B464,B464,$C$2:C464,C464,$D$2:D464,D464)=1,E464-SUMIFS($G$2:$G$1001,$B$2:$B$1001,B464,$C$2:$C$1001,C464,$D$2:$D$1001,D464),0))</x:f>
      </x:c>
    </x:row>
    <x:row r="465" ht="24" customHeight="1">
      <x:c r="A465" s="34"/>
      <x:c r="B465" s="34"/>
      <x:c r="C465" s="34"/>
      <x:c r="D465" s="34"/>
      <x:c r="E465" s="35"/>
      <x:c r="F465" s="35"/>
      <x:c r="G465" s="35"/>
      <x:c r="H465" s="35" t="str">
        <x:f>IF(B465="","",IF(COUNTIFS($B$2:B465,B465,$C$2:C465,C465,$D$2:D465,D465)=1,E465-SUMIFS($G$2:$G$1001,$B$2:$B$1001,B465,$C$2:$C$1001,C465,$D$2:$D$1001,D465),0))</x:f>
      </x:c>
    </x:row>
    <x:row r="466" ht="24" customHeight="1">
      <x:c r="A466" s="34"/>
      <x:c r="B466" s="34"/>
      <x:c r="C466" s="34"/>
      <x:c r="D466" s="34"/>
      <x:c r="E466" s="35"/>
      <x:c r="F466" s="35"/>
      <x:c r="G466" s="35"/>
      <x:c r="H466" s="35" t="str">
        <x:f>IF(B466="","",IF(COUNTIFS($B$2:B466,B466,$C$2:C466,C466,$D$2:D466,D466)=1,E466-SUMIFS($G$2:$G$1001,$B$2:$B$1001,B466,$C$2:$C$1001,C466,$D$2:$D$1001,D466),0))</x:f>
      </x:c>
    </x:row>
    <x:row r="467" ht="24" customHeight="1">
      <x:c r="A467" s="34"/>
      <x:c r="B467" s="34"/>
      <x:c r="C467" s="34"/>
      <x:c r="D467" s="34"/>
      <x:c r="E467" s="35"/>
      <x:c r="F467" s="35"/>
      <x:c r="G467" s="35"/>
      <x:c r="H467" s="35" t="str">
        <x:f>IF(B467="","",IF(COUNTIFS($B$2:B467,B467,$C$2:C467,C467,$D$2:D467,D467)=1,E467-SUMIFS($G$2:$G$1001,$B$2:$B$1001,B467,$C$2:$C$1001,C467,$D$2:$D$1001,D467),0))</x:f>
      </x:c>
    </x:row>
    <x:row r="468" ht="24" customHeight="1">
      <x:c r="A468" s="34"/>
      <x:c r="B468" s="34"/>
      <x:c r="C468" s="34"/>
      <x:c r="D468" s="34"/>
      <x:c r="E468" s="35"/>
      <x:c r="F468" s="35"/>
      <x:c r="G468" s="35"/>
      <x:c r="H468" s="35" t="str">
        <x:f>IF(B468="","",IF(COUNTIFS($B$2:B468,B468,$C$2:C468,C468,$D$2:D468,D468)=1,E468-SUMIFS($G$2:$G$1001,$B$2:$B$1001,B468,$C$2:$C$1001,C468,$D$2:$D$1001,D468),0))</x:f>
      </x:c>
    </x:row>
    <x:row r="469" ht="24" customHeight="1">
      <x:c r="A469" s="34"/>
      <x:c r="B469" s="34"/>
      <x:c r="C469" s="34"/>
      <x:c r="D469" s="34"/>
      <x:c r="E469" s="35"/>
      <x:c r="F469" s="35"/>
      <x:c r="G469" s="35"/>
      <x:c r="H469" s="35" t="str">
        <x:f>IF(B469="","",IF(COUNTIFS($B$2:B469,B469,$C$2:C469,C469,$D$2:D469,D469)=1,E469-SUMIFS($G$2:$G$1001,$B$2:$B$1001,B469,$C$2:$C$1001,C469,$D$2:$D$1001,D469),0))</x:f>
      </x:c>
    </x:row>
    <x:row r="470" ht="24" customHeight="1">
      <x:c r="A470" s="34"/>
      <x:c r="B470" s="34"/>
      <x:c r="C470" s="34"/>
      <x:c r="D470" s="34"/>
      <x:c r="E470" s="35"/>
      <x:c r="F470" s="35"/>
      <x:c r="G470" s="35"/>
      <x:c r="H470" s="35" t="str">
        <x:f>IF(B470="","",IF(COUNTIFS($B$2:B470,B470,$C$2:C470,C470,$D$2:D470,D470)=1,E470-SUMIFS($G$2:$G$1001,$B$2:$B$1001,B470,$C$2:$C$1001,C470,$D$2:$D$1001,D470),0))</x:f>
      </x:c>
    </x:row>
    <x:row r="471" ht="24" customHeight="1">
      <x:c r="A471" s="34"/>
      <x:c r="B471" s="34"/>
      <x:c r="C471" s="34"/>
      <x:c r="D471" s="34"/>
      <x:c r="E471" s="35"/>
      <x:c r="F471" s="35"/>
      <x:c r="G471" s="35"/>
      <x:c r="H471" s="35" t="str">
        <x:f>IF(B471="","",IF(COUNTIFS($B$2:B471,B471,$C$2:C471,C471,$D$2:D471,D471)=1,E471-SUMIFS($G$2:$G$1001,$B$2:$B$1001,B471,$C$2:$C$1001,C471,$D$2:$D$1001,D471),0))</x:f>
      </x:c>
    </x:row>
    <x:row r="472" ht="24" customHeight="1">
      <x:c r="A472" s="34"/>
      <x:c r="B472" s="34"/>
      <x:c r="C472" s="34"/>
      <x:c r="D472" s="34"/>
      <x:c r="E472" s="35"/>
      <x:c r="F472" s="35"/>
      <x:c r="G472" s="35"/>
      <x:c r="H472" s="35" t="str">
        <x:f>IF(B472="","",IF(COUNTIFS($B$2:B472,B472,$C$2:C472,C472,$D$2:D472,D472)=1,E472-SUMIFS($G$2:$G$1001,$B$2:$B$1001,B472,$C$2:$C$1001,C472,$D$2:$D$1001,D472),0))</x:f>
      </x:c>
    </x:row>
    <x:row r="473" ht="24" customHeight="1">
      <x:c r="A473" s="34"/>
      <x:c r="B473" s="34"/>
      <x:c r="C473" s="34"/>
      <x:c r="D473" s="34"/>
      <x:c r="E473" s="35"/>
      <x:c r="F473" s="35"/>
      <x:c r="G473" s="35"/>
      <x:c r="H473" s="35" t="str">
        <x:f>IF(B473="","",IF(COUNTIFS($B$2:B473,B473,$C$2:C473,C473,$D$2:D473,D473)=1,E473-SUMIFS($G$2:$G$1001,$B$2:$B$1001,B473,$C$2:$C$1001,C473,$D$2:$D$1001,D473),0))</x:f>
      </x:c>
    </x:row>
    <x:row r="474" ht="24" customHeight="1">
      <x:c r="A474" s="34"/>
      <x:c r="B474" s="34"/>
      <x:c r="C474" s="34"/>
      <x:c r="D474" s="34"/>
      <x:c r="E474" s="35"/>
      <x:c r="F474" s="35"/>
      <x:c r="G474" s="35"/>
      <x:c r="H474" s="35" t="str">
        <x:f>IF(B474="","",IF(COUNTIFS($B$2:B474,B474,$C$2:C474,C474,$D$2:D474,D474)=1,E474-SUMIFS($G$2:$G$1001,$B$2:$B$1001,B474,$C$2:$C$1001,C474,$D$2:$D$1001,D474),0))</x:f>
      </x:c>
    </x:row>
    <x:row r="475" ht="24" customHeight="1">
      <x:c r="A475" s="34"/>
      <x:c r="B475" s="34"/>
      <x:c r="C475" s="34"/>
      <x:c r="D475" s="34"/>
      <x:c r="E475" s="35"/>
      <x:c r="F475" s="35"/>
      <x:c r="G475" s="35"/>
      <x:c r="H475" s="35" t="str">
        <x:f>IF(B475="","",IF(COUNTIFS($B$2:B475,B475,$C$2:C475,C475,$D$2:D475,D475)=1,E475-SUMIFS($G$2:$G$1001,$B$2:$B$1001,B475,$C$2:$C$1001,C475,$D$2:$D$1001,D475),0))</x:f>
      </x:c>
    </x:row>
    <x:row r="476" ht="24" customHeight="1">
      <x:c r="A476" s="34"/>
      <x:c r="B476" s="34"/>
      <x:c r="C476" s="34"/>
      <x:c r="D476" s="34"/>
      <x:c r="E476" s="35"/>
      <x:c r="F476" s="35"/>
      <x:c r="G476" s="35"/>
      <x:c r="H476" s="35" t="str">
        <x:f>IF(B476="","",IF(COUNTIFS($B$2:B476,B476,$C$2:C476,C476,$D$2:D476,D476)=1,E476-SUMIFS($G$2:$G$1001,$B$2:$B$1001,B476,$C$2:$C$1001,C476,$D$2:$D$1001,D476),0))</x:f>
      </x:c>
    </x:row>
    <x:row r="477" ht="24" customHeight="1">
      <x:c r="A477" s="34"/>
      <x:c r="B477" s="34"/>
      <x:c r="C477" s="34"/>
      <x:c r="D477" s="34"/>
      <x:c r="E477" s="35"/>
      <x:c r="F477" s="35"/>
      <x:c r="G477" s="35"/>
      <x:c r="H477" s="35" t="str">
        <x:f>IF(B477="","",IF(COUNTIFS($B$2:B477,B477,$C$2:C477,C477,$D$2:D477,D477)=1,E477-SUMIFS($G$2:$G$1001,$B$2:$B$1001,B477,$C$2:$C$1001,C477,$D$2:$D$1001,D477),0))</x:f>
      </x:c>
    </x:row>
    <x:row r="478" ht="24" customHeight="1">
      <x:c r="A478" s="34"/>
      <x:c r="B478" s="34"/>
      <x:c r="C478" s="34"/>
      <x:c r="D478" s="34"/>
      <x:c r="E478" s="35"/>
      <x:c r="F478" s="35"/>
      <x:c r="G478" s="35"/>
      <x:c r="H478" s="35" t="str">
        <x:f>IF(B478="","",IF(COUNTIFS($B$2:B478,B478,$C$2:C478,C478,$D$2:D478,D478)=1,E478-SUMIFS($G$2:$G$1001,$B$2:$B$1001,B478,$C$2:$C$1001,C478,$D$2:$D$1001,D478),0))</x:f>
      </x:c>
    </x:row>
    <x:row r="479" ht="24" customHeight="1">
      <x:c r="A479" s="34"/>
      <x:c r="B479" s="34"/>
      <x:c r="C479" s="34"/>
      <x:c r="D479" s="34"/>
      <x:c r="E479" s="35"/>
      <x:c r="F479" s="35"/>
      <x:c r="G479" s="35"/>
      <x:c r="H479" s="35" t="str">
        <x:f>IF(B479="","",IF(COUNTIFS($B$2:B479,B479,$C$2:C479,C479,$D$2:D479,D479)=1,E479-SUMIFS($G$2:$G$1001,$B$2:$B$1001,B479,$C$2:$C$1001,C479,$D$2:$D$1001,D479),0))</x:f>
      </x:c>
    </x:row>
    <x:row r="480" ht="24" customHeight="1">
      <x:c r="A480" s="34"/>
      <x:c r="B480" s="34"/>
      <x:c r="C480" s="34"/>
      <x:c r="D480" s="34"/>
      <x:c r="E480" s="35"/>
      <x:c r="F480" s="35"/>
      <x:c r="G480" s="35"/>
      <x:c r="H480" s="35" t="str">
        <x:f>IF(B480="","",IF(COUNTIFS($B$2:B480,B480,$C$2:C480,C480,$D$2:D480,D480)=1,E480-SUMIFS($G$2:$G$1001,$B$2:$B$1001,B480,$C$2:$C$1001,C480,$D$2:$D$1001,D480),0))</x:f>
      </x:c>
    </x:row>
    <x:row r="481" ht="24" customHeight="1">
      <x:c r="A481" s="34"/>
      <x:c r="B481" s="34"/>
      <x:c r="C481" s="34"/>
      <x:c r="D481" s="34"/>
      <x:c r="E481" s="35"/>
      <x:c r="F481" s="35"/>
      <x:c r="G481" s="35"/>
      <x:c r="H481" s="35" t="str">
        <x:f>IF(B481="","",IF(COUNTIFS($B$2:B481,B481,$C$2:C481,C481,$D$2:D481,D481)=1,E481-SUMIFS($G$2:$G$1001,$B$2:$B$1001,B481,$C$2:$C$1001,C481,$D$2:$D$1001,D481),0))</x:f>
      </x:c>
    </x:row>
    <x:row r="482" ht="24" customHeight="1">
      <x:c r="A482" s="34"/>
      <x:c r="B482" s="34"/>
      <x:c r="C482" s="34"/>
      <x:c r="D482" s="34"/>
      <x:c r="E482" s="35"/>
      <x:c r="F482" s="35"/>
      <x:c r="G482" s="35"/>
      <x:c r="H482" s="35" t="str">
        <x:f>IF(B482="","",IF(COUNTIFS($B$2:B482,B482,$C$2:C482,C482,$D$2:D482,D482)=1,E482-SUMIFS($G$2:$G$1001,$B$2:$B$1001,B482,$C$2:$C$1001,C482,$D$2:$D$1001,D482),0))</x:f>
      </x:c>
    </x:row>
    <x:row r="483" ht="24" customHeight="1">
      <x:c r="A483" s="34"/>
      <x:c r="B483" s="34"/>
      <x:c r="C483" s="34"/>
      <x:c r="D483" s="34"/>
      <x:c r="E483" s="35"/>
      <x:c r="F483" s="35"/>
      <x:c r="G483" s="35"/>
      <x:c r="H483" s="35" t="str">
        <x:f>IF(B483="","",IF(COUNTIFS($B$2:B483,B483,$C$2:C483,C483,$D$2:D483,D483)=1,E483-SUMIFS($G$2:$G$1001,$B$2:$B$1001,B483,$C$2:$C$1001,C483,$D$2:$D$1001,D483),0))</x:f>
      </x:c>
    </x:row>
    <x:row r="484" ht="24" customHeight="1">
      <x:c r="A484" s="34"/>
      <x:c r="B484" s="34"/>
      <x:c r="C484" s="34"/>
      <x:c r="D484" s="34"/>
      <x:c r="E484" s="35"/>
      <x:c r="F484" s="35"/>
      <x:c r="G484" s="35"/>
      <x:c r="H484" s="35" t="str">
        <x:f>IF(B484="","",IF(COUNTIFS($B$2:B484,B484,$C$2:C484,C484,$D$2:D484,D484)=1,E484-SUMIFS($G$2:$G$1001,$B$2:$B$1001,B484,$C$2:$C$1001,C484,$D$2:$D$1001,D484),0))</x:f>
      </x:c>
    </x:row>
    <x:row r="485" ht="24" customHeight="1">
      <x:c r="A485" s="34"/>
      <x:c r="B485" s="34"/>
      <x:c r="C485" s="34"/>
      <x:c r="D485" s="34"/>
      <x:c r="E485" s="35"/>
      <x:c r="F485" s="35"/>
      <x:c r="G485" s="35"/>
      <x:c r="H485" s="35" t="str">
        <x:f>IF(B485="","",IF(COUNTIFS($B$2:B485,B485,$C$2:C485,C485,$D$2:D485,D485)=1,E485-SUMIFS($G$2:$G$1001,$B$2:$B$1001,B485,$C$2:$C$1001,C485,$D$2:$D$1001,D485),0))</x:f>
      </x:c>
    </x:row>
    <x:row r="486" ht="24" customHeight="1">
      <x:c r="A486" s="34"/>
      <x:c r="B486" s="34"/>
      <x:c r="C486" s="34"/>
      <x:c r="D486" s="34"/>
      <x:c r="E486" s="35"/>
      <x:c r="F486" s="35"/>
      <x:c r="G486" s="35"/>
      <x:c r="H486" s="35" t="str">
        <x:f>IF(B486="","",IF(COUNTIFS($B$2:B486,B486,$C$2:C486,C486,$D$2:D486,D486)=1,E486-SUMIFS($G$2:$G$1001,$B$2:$B$1001,B486,$C$2:$C$1001,C486,$D$2:$D$1001,D486),0))</x:f>
      </x:c>
    </x:row>
    <x:row r="487" ht="24" customHeight="1">
      <x:c r="A487" s="34"/>
      <x:c r="B487" s="34"/>
      <x:c r="C487" s="34"/>
      <x:c r="D487" s="34"/>
      <x:c r="E487" s="35"/>
      <x:c r="F487" s="35"/>
      <x:c r="G487" s="35"/>
      <x:c r="H487" s="35" t="str">
        <x:f>IF(B487="","",IF(COUNTIFS($B$2:B487,B487,$C$2:C487,C487,$D$2:D487,D487)=1,E487-SUMIFS($G$2:$G$1001,$B$2:$B$1001,B487,$C$2:$C$1001,C487,$D$2:$D$1001,D487),0))</x:f>
      </x:c>
    </x:row>
    <x:row r="488" ht="24" customHeight="1">
      <x:c r="A488" s="34"/>
      <x:c r="B488" s="34"/>
      <x:c r="C488" s="34"/>
      <x:c r="D488" s="34"/>
      <x:c r="E488" s="35"/>
      <x:c r="F488" s="35"/>
      <x:c r="G488" s="35"/>
      <x:c r="H488" s="35" t="str">
        <x:f>IF(B488="","",IF(COUNTIFS($B$2:B488,B488,$C$2:C488,C488,$D$2:D488,D488)=1,E488-SUMIFS($G$2:$G$1001,$B$2:$B$1001,B488,$C$2:$C$1001,C488,$D$2:$D$1001,D488),0))</x:f>
      </x:c>
    </x:row>
    <x:row r="489" ht="24" customHeight="1">
      <x:c r="A489" s="34"/>
      <x:c r="B489" s="34"/>
      <x:c r="C489" s="34"/>
      <x:c r="D489" s="34"/>
      <x:c r="E489" s="35"/>
      <x:c r="F489" s="35"/>
      <x:c r="G489" s="35"/>
      <x:c r="H489" s="35" t="str">
        <x:f>IF(B489="","",IF(COUNTIFS($B$2:B489,B489,$C$2:C489,C489,$D$2:D489,D489)=1,E489-SUMIFS($G$2:$G$1001,$B$2:$B$1001,B489,$C$2:$C$1001,C489,$D$2:$D$1001,D489),0))</x:f>
      </x:c>
    </x:row>
    <x:row r="490" ht="24" customHeight="1">
      <x:c r="A490" s="34"/>
      <x:c r="B490" s="34"/>
      <x:c r="C490" s="34"/>
      <x:c r="D490" s="34"/>
      <x:c r="E490" s="35"/>
      <x:c r="F490" s="35"/>
      <x:c r="G490" s="35"/>
      <x:c r="H490" s="35" t="str">
        <x:f>IF(B490="","",IF(COUNTIFS($B$2:B490,B490,$C$2:C490,C490,$D$2:D490,D490)=1,E490-SUMIFS($G$2:$G$1001,$B$2:$B$1001,B490,$C$2:$C$1001,C490,$D$2:$D$1001,D490),0))</x:f>
      </x:c>
    </x:row>
    <x:row r="491" ht="24" customHeight="1">
      <x:c r="A491" s="34"/>
      <x:c r="B491" s="34"/>
      <x:c r="C491" s="34"/>
      <x:c r="D491" s="34"/>
      <x:c r="E491" s="35"/>
      <x:c r="F491" s="35"/>
      <x:c r="G491" s="35"/>
      <x:c r="H491" s="35" t="str">
        <x:f>IF(B491="","",IF(COUNTIFS($B$2:B491,B491,$C$2:C491,C491,$D$2:D491,D491)=1,E491-SUMIFS($G$2:$G$1001,$B$2:$B$1001,B491,$C$2:$C$1001,C491,$D$2:$D$1001,D491),0))</x:f>
      </x:c>
    </x:row>
    <x:row r="492" ht="24" customHeight="1">
      <x:c r="A492" s="34"/>
      <x:c r="B492" s="34"/>
      <x:c r="C492" s="34"/>
      <x:c r="D492" s="34"/>
      <x:c r="E492" s="35"/>
      <x:c r="F492" s="35"/>
      <x:c r="G492" s="35"/>
      <x:c r="H492" s="35" t="str">
        <x:f>IF(B492="","",IF(COUNTIFS($B$2:B492,B492,$C$2:C492,C492,$D$2:D492,D492)=1,E492-SUMIFS($G$2:$G$1001,$B$2:$B$1001,B492,$C$2:$C$1001,C492,$D$2:$D$1001,D492),0))</x:f>
      </x:c>
    </x:row>
    <x:row r="493" ht="24" customHeight="1">
      <x:c r="A493" s="34"/>
      <x:c r="B493" s="34"/>
      <x:c r="C493" s="34"/>
      <x:c r="D493" s="34"/>
      <x:c r="E493" s="35"/>
      <x:c r="F493" s="35"/>
      <x:c r="G493" s="35"/>
      <x:c r="H493" s="35" t="str">
        <x:f>IF(B493="","",IF(COUNTIFS($B$2:B493,B493,$C$2:C493,C493,$D$2:D493,D493)=1,E493-SUMIFS($G$2:$G$1001,$B$2:$B$1001,B493,$C$2:$C$1001,C493,$D$2:$D$1001,D493),0))</x:f>
      </x:c>
    </x:row>
    <x:row r="494" ht="24" customHeight="1">
      <x:c r="A494" s="34"/>
      <x:c r="B494" s="34"/>
      <x:c r="C494" s="34"/>
      <x:c r="D494" s="34"/>
      <x:c r="E494" s="35"/>
      <x:c r="F494" s="35"/>
      <x:c r="G494" s="35"/>
      <x:c r="H494" s="35" t="str">
        <x:f>IF(B494="","",IF(COUNTIFS($B$2:B494,B494,$C$2:C494,C494,$D$2:D494,D494)=1,E494-SUMIFS($G$2:$G$1001,$B$2:$B$1001,B494,$C$2:$C$1001,C494,$D$2:$D$1001,D494),0))</x:f>
      </x:c>
    </x:row>
    <x:row r="495" ht="24" customHeight="1">
      <x:c r="A495" s="34"/>
      <x:c r="B495" s="34"/>
      <x:c r="C495" s="34"/>
      <x:c r="D495" s="34"/>
      <x:c r="E495" s="35"/>
      <x:c r="F495" s="35"/>
      <x:c r="G495" s="35"/>
      <x:c r="H495" s="35" t="str">
        <x:f>IF(B495="","",IF(COUNTIFS($B$2:B495,B495,$C$2:C495,C495,$D$2:D495,D495)=1,E495-SUMIFS($G$2:$G$1001,$B$2:$B$1001,B495,$C$2:$C$1001,C495,$D$2:$D$1001,D495),0))</x:f>
      </x:c>
    </x:row>
    <x:row r="496" ht="24" customHeight="1">
      <x:c r="A496" s="34"/>
      <x:c r="B496" s="34"/>
      <x:c r="C496" s="34"/>
      <x:c r="D496" s="34"/>
      <x:c r="E496" s="35"/>
      <x:c r="F496" s="35"/>
      <x:c r="G496" s="35"/>
      <x:c r="H496" s="35" t="str">
        <x:f>IF(B496="","",IF(COUNTIFS($B$2:B496,B496,$C$2:C496,C496,$D$2:D496,D496)=1,E496-SUMIFS($G$2:$G$1001,$B$2:$B$1001,B496,$C$2:$C$1001,C496,$D$2:$D$1001,D496),0))</x:f>
      </x:c>
    </x:row>
    <x:row r="497" ht="24" customHeight="1">
      <x:c r="A497" s="34"/>
      <x:c r="B497" s="34"/>
      <x:c r="C497" s="34"/>
      <x:c r="D497" s="34"/>
      <x:c r="E497" s="35"/>
      <x:c r="F497" s="35"/>
      <x:c r="G497" s="35"/>
      <x:c r="H497" s="35" t="str">
        <x:f>IF(B497="","",IF(COUNTIFS($B$2:B497,B497,$C$2:C497,C497,$D$2:D497,D497)=1,E497-SUMIFS($G$2:$G$1001,$B$2:$B$1001,B497,$C$2:$C$1001,C497,$D$2:$D$1001,D497),0))</x:f>
      </x:c>
    </x:row>
    <x:row r="498" ht="24" customHeight="1">
      <x:c r="A498" s="34"/>
      <x:c r="B498" s="34"/>
      <x:c r="C498" s="34"/>
      <x:c r="D498" s="34"/>
      <x:c r="E498" s="35"/>
      <x:c r="F498" s="35"/>
      <x:c r="G498" s="35"/>
      <x:c r="H498" s="35" t="str">
        <x:f>IF(B498="","",IF(COUNTIFS($B$2:B498,B498,$C$2:C498,C498,$D$2:D498,D498)=1,E498-SUMIFS($G$2:$G$1001,$B$2:$B$1001,B498,$C$2:$C$1001,C498,$D$2:$D$1001,D498),0))</x:f>
      </x:c>
    </x:row>
    <x:row r="499" ht="24" customHeight="1">
      <x:c r="A499" s="34"/>
      <x:c r="B499" s="34"/>
      <x:c r="C499" s="34"/>
      <x:c r="D499" s="34"/>
      <x:c r="E499" s="35"/>
      <x:c r="F499" s="35"/>
      <x:c r="G499" s="35"/>
      <x:c r="H499" s="35" t="str">
        <x:f>IF(B499="","",IF(COUNTIFS($B$2:B499,B499,$C$2:C499,C499,$D$2:D499,D499)=1,E499-SUMIFS($G$2:$G$1001,$B$2:$B$1001,B499,$C$2:$C$1001,C499,$D$2:$D$1001,D499),0))</x:f>
      </x:c>
    </x:row>
    <x:row r="500" ht="24" customHeight="1">
      <x:c r="A500" s="34"/>
      <x:c r="B500" s="34"/>
      <x:c r="C500" s="34"/>
      <x:c r="D500" s="34"/>
      <x:c r="E500" s="35"/>
      <x:c r="F500" s="35"/>
      <x:c r="G500" s="35"/>
      <x:c r="H500" s="35" t="str">
        <x:f>IF(B500="","",IF(COUNTIFS($B$2:B500,B500,$C$2:C500,C500,$D$2:D500,D500)=1,E500-SUMIFS($G$2:$G$1001,$B$2:$B$1001,B500,$C$2:$C$1001,C500,$D$2:$D$1001,D500),0))</x:f>
      </x:c>
    </x:row>
    <x:row r="501" ht="24" customHeight="1">
      <x:c r="A501" s="34"/>
      <x:c r="B501" s="34"/>
      <x:c r="C501" s="34"/>
      <x:c r="D501" s="34"/>
      <x:c r="E501" s="35"/>
      <x:c r="F501" s="35"/>
      <x:c r="G501" s="35"/>
      <x:c r="H501" s="35" t="str">
        <x:f>IF(B501="","",IF(COUNTIFS($B$2:B501,B501,$C$2:C501,C501,$D$2:D501,D501)=1,E501-SUMIFS($G$2:$G$1001,$B$2:$B$1001,B501,$C$2:$C$1001,C501,$D$2:$D$1001,D501),0))</x:f>
      </x:c>
    </x:row>
    <x:row r="502" ht="24" customHeight="1">
      <x:c r="A502" s="34"/>
      <x:c r="B502" s="34"/>
      <x:c r="C502" s="34"/>
      <x:c r="D502" s="34"/>
      <x:c r="E502" s="35"/>
      <x:c r="F502" s="35"/>
      <x:c r="G502" s="35"/>
      <x:c r="H502" s="35" t="str">
        <x:f>IF(B502="","",IF(COUNTIFS($B$2:B502,B502,$C$2:C502,C502,$D$2:D502,D502)=1,E502-SUMIFS($G$2:$G$1001,$B$2:$B$1001,B502,$C$2:$C$1001,C502,$D$2:$D$1001,D502),0))</x:f>
      </x:c>
    </x:row>
    <x:row r="503" ht="24" customHeight="1">
      <x:c r="A503" s="34"/>
      <x:c r="B503" s="34"/>
      <x:c r="C503" s="34"/>
      <x:c r="D503" s="34"/>
      <x:c r="E503" s="35"/>
      <x:c r="F503" s="35"/>
      <x:c r="G503" s="35"/>
      <x:c r="H503" s="35" t="str">
        <x:f>IF(B503="","",IF(COUNTIFS($B$2:B503,B503,$C$2:C503,C503,$D$2:D503,D503)=1,E503-SUMIFS($G$2:$G$1001,$B$2:$B$1001,B503,$C$2:$C$1001,C503,$D$2:$D$1001,D503),0))</x:f>
      </x:c>
    </x:row>
    <x:row r="504" ht="24" customHeight="1">
      <x:c r="A504" s="34"/>
      <x:c r="B504" s="34"/>
      <x:c r="C504" s="34"/>
      <x:c r="D504" s="34"/>
      <x:c r="E504" s="35"/>
      <x:c r="F504" s="35"/>
      <x:c r="G504" s="35"/>
      <x:c r="H504" s="35" t="str">
        <x:f>IF(B504="","",IF(COUNTIFS($B$2:B504,B504,$C$2:C504,C504,$D$2:D504,D504)=1,E504-SUMIFS($G$2:$G$1001,$B$2:$B$1001,B504,$C$2:$C$1001,C504,$D$2:$D$1001,D504),0))</x:f>
      </x:c>
    </x:row>
    <x:row r="505" ht="24" customHeight="1">
      <x:c r="A505" s="34"/>
      <x:c r="B505" s="34"/>
      <x:c r="C505" s="34"/>
      <x:c r="D505" s="34"/>
      <x:c r="E505" s="35"/>
      <x:c r="F505" s="35"/>
      <x:c r="G505" s="35"/>
      <x:c r="H505" s="35" t="str">
        <x:f>IF(B505="","",IF(COUNTIFS($B$2:B505,B505,$C$2:C505,C505,$D$2:D505,D505)=1,E505-SUMIFS($G$2:$G$1001,$B$2:$B$1001,B505,$C$2:$C$1001,C505,$D$2:$D$1001,D505),0))</x:f>
      </x:c>
    </x:row>
    <x:row r="506" ht="24" customHeight="1">
      <x:c r="A506" s="34"/>
      <x:c r="B506" s="34"/>
      <x:c r="C506" s="34"/>
      <x:c r="D506" s="34"/>
      <x:c r="E506" s="35"/>
      <x:c r="F506" s="35"/>
      <x:c r="G506" s="35"/>
      <x:c r="H506" s="35" t="str">
        <x:f>IF(B506="","",IF(COUNTIFS($B$2:B506,B506,$C$2:C506,C506,$D$2:D506,D506)=1,E506-SUMIFS($G$2:$G$1001,$B$2:$B$1001,B506,$C$2:$C$1001,C506,$D$2:$D$1001,D506),0))</x:f>
      </x:c>
    </x:row>
    <x:row r="507" ht="24" customHeight="1">
      <x:c r="A507" s="34"/>
      <x:c r="B507" s="34"/>
      <x:c r="C507" s="34"/>
      <x:c r="D507" s="34"/>
      <x:c r="E507" s="35"/>
      <x:c r="F507" s="35"/>
      <x:c r="G507" s="35"/>
      <x:c r="H507" s="35" t="str">
        <x:f>IF(B507="","",IF(COUNTIFS($B$2:B507,B507,$C$2:C507,C507,$D$2:D507,D507)=1,E507-SUMIFS($G$2:$G$1001,$B$2:$B$1001,B507,$C$2:$C$1001,C507,$D$2:$D$1001,D507),0))</x:f>
      </x:c>
    </x:row>
    <x:row r="508" ht="24" customHeight="1">
      <x:c r="A508" s="34"/>
      <x:c r="B508" s="34"/>
      <x:c r="C508" s="34"/>
      <x:c r="D508" s="34"/>
      <x:c r="E508" s="35"/>
      <x:c r="F508" s="35"/>
      <x:c r="G508" s="35"/>
      <x:c r="H508" s="35" t="str">
        <x:f>IF(B508="","",IF(COUNTIFS($B$2:B508,B508,$C$2:C508,C508,$D$2:D508,D508)=1,E508-SUMIFS($G$2:$G$1001,$B$2:$B$1001,B508,$C$2:$C$1001,C508,$D$2:$D$1001,D508),0))</x:f>
      </x:c>
    </x:row>
    <x:row r="509" ht="24" customHeight="1">
      <x:c r="A509" s="34"/>
      <x:c r="B509" s="34"/>
      <x:c r="C509" s="34"/>
      <x:c r="D509" s="34"/>
      <x:c r="E509" s="35"/>
      <x:c r="F509" s="35"/>
      <x:c r="G509" s="35"/>
      <x:c r="H509" s="35" t="str">
        <x:f>IF(B509="","",IF(COUNTIFS($B$2:B509,B509,$C$2:C509,C509,$D$2:D509,D509)=1,E509-SUMIFS($G$2:$G$1001,$B$2:$B$1001,B509,$C$2:$C$1001,C509,$D$2:$D$1001,D509),0))</x:f>
      </x:c>
    </x:row>
    <x:row r="510" ht="24" customHeight="1">
      <x:c r="A510" s="34"/>
      <x:c r="B510" s="34"/>
      <x:c r="C510" s="34"/>
      <x:c r="D510" s="34"/>
      <x:c r="E510" s="35"/>
      <x:c r="F510" s="35"/>
      <x:c r="G510" s="35"/>
      <x:c r="H510" s="35" t="str">
        <x:f>IF(B510="","",IF(COUNTIFS($B$2:B510,B510,$C$2:C510,C510,$D$2:D510,D510)=1,E510-SUMIFS($G$2:$G$1001,$B$2:$B$1001,B510,$C$2:$C$1001,C510,$D$2:$D$1001,D510),0))</x:f>
      </x:c>
    </x:row>
    <x:row r="511" ht="24" customHeight="1">
      <x:c r="A511" s="34"/>
      <x:c r="B511" s="34"/>
      <x:c r="C511" s="34"/>
      <x:c r="D511" s="34"/>
      <x:c r="E511" s="35"/>
      <x:c r="F511" s="35"/>
      <x:c r="G511" s="35"/>
      <x:c r="H511" s="35" t="str">
        <x:f>IF(B511="","",IF(COUNTIFS($B$2:B511,B511,$C$2:C511,C511,$D$2:D511,D511)=1,E511-SUMIFS($G$2:$G$1001,$B$2:$B$1001,B511,$C$2:$C$1001,C511,$D$2:$D$1001,D511),0))</x:f>
      </x:c>
    </x:row>
    <x:row r="512" ht="24" customHeight="1">
      <x:c r="A512" s="34"/>
      <x:c r="B512" s="34"/>
      <x:c r="C512" s="34"/>
      <x:c r="D512" s="34"/>
      <x:c r="E512" s="35"/>
      <x:c r="F512" s="35"/>
      <x:c r="G512" s="35"/>
      <x:c r="H512" s="35" t="str">
        <x:f>IF(B512="","",IF(COUNTIFS($B$2:B512,B512,$C$2:C512,C512,$D$2:D512,D512)=1,E512-SUMIFS($G$2:$G$1001,$B$2:$B$1001,B512,$C$2:$C$1001,C512,$D$2:$D$1001,D512),0))</x:f>
      </x:c>
    </x:row>
    <x:row r="513" ht="24" customHeight="1">
      <x:c r="A513" s="34"/>
      <x:c r="B513" s="34"/>
      <x:c r="C513" s="34"/>
      <x:c r="D513" s="34"/>
      <x:c r="E513" s="35"/>
      <x:c r="F513" s="35"/>
      <x:c r="G513" s="35"/>
      <x:c r="H513" s="35" t="str">
        <x:f>IF(B513="","",IF(COUNTIFS($B$2:B513,B513,$C$2:C513,C513,$D$2:D513,D513)=1,E513-SUMIFS($G$2:$G$1001,$B$2:$B$1001,B513,$C$2:$C$1001,C513,$D$2:$D$1001,D513),0))</x:f>
      </x:c>
    </x:row>
    <x:row r="514" ht="24" customHeight="1">
      <x:c r="A514" s="34"/>
      <x:c r="B514" s="34"/>
      <x:c r="C514" s="34"/>
      <x:c r="D514" s="34"/>
      <x:c r="E514" s="35"/>
      <x:c r="F514" s="35"/>
      <x:c r="G514" s="35"/>
      <x:c r="H514" s="35" t="str">
        <x:f>IF(B514="","",IF(COUNTIFS($B$2:B514,B514,$C$2:C514,C514,$D$2:D514,D514)=1,E514-SUMIFS($G$2:$G$1001,$B$2:$B$1001,B514,$C$2:$C$1001,C514,$D$2:$D$1001,D514),0))</x:f>
      </x:c>
    </x:row>
    <x:row r="515" ht="24" customHeight="1">
      <x:c r="A515" s="34"/>
      <x:c r="B515" s="34"/>
      <x:c r="C515" s="34"/>
      <x:c r="D515" s="34"/>
      <x:c r="E515" s="35"/>
      <x:c r="F515" s="35"/>
      <x:c r="G515" s="35"/>
      <x:c r="H515" s="35" t="str">
        <x:f>IF(B515="","",IF(COUNTIFS($B$2:B515,B515,$C$2:C515,C515,$D$2:D515,D515)=1,E515-SUMIFS($G$2:$G$1001,$B$2:$B$1001,B515,$C$2:$C$1001,C515,$D$2:$D$1001,D515),0))</x:f>
      </x:c>
    </x:row>
    <x:row r="516" ht="24" customHeight="1">
      <x:c r="A516" s="34"/>
      <x:c r="B516" s="34"/>
      <x:c r="C516" s="34"/>
      <x:c r="D516" s="34"/>
      <x:c r="E516" s="35"/>
      <x:c r="F516" s="35"/>
      <x:c r="G516" s="35"/>
      <x:c r="H516" s="35" t="str">
        <x:f>IF(B516="","",IF(COUNTIFS($B$2:B516,B516,$C$2:C516,C516,$D$2:D516,D516)=1,E516-SUMIFS($G$2:$G$1001,$B$2:$B$1001,B516,$C$2:$C$1001,C516,$D$2:$D$1001,D516),0))</x:f>
      </x:c>
    </x:row>
    <x:row r="517" ht="24" customHeight="1">
      <x:c r="A517" s="34"/>
      <x:c r="B517" s="34"/>
      <x:c r="C517" s="34"/>
      <x:c r="D517" s="34"/>
      <x:c r="E517" s="35"/>
      <x:c r="F517" s="35"/>
      <x:c r="G517" s="35"/>
      <x:c r="H517" s="35" t="str">
        <x:f>IF(B517="","",IF(COUNTIFS($B$2:B517,B517,$C$2:C517,C517,$D$2:D517,D517)=1,E517-SUMIFS($G$2:$G$1001,$B$2:$B$1001,B517,$C$2:$C$1001,C517,$D$2:$D$1001,D517),0))</x:f>
      </x:c>
    </x:row>
    <x:row r="518" ht="24" customHeight="1">
      <x:c r="A518" s="34"/>
      <x:c r="B518" s="34"/>
      <x:c r="C518" s="34"/>
      <x:c r="D518" s="34"/>
      <x:c r="E518" s="35"/>
      <x:c r="F518" s="35"/>
      <x:c r="G518" s="35"/>
      <x:c r="H518" s="35" t="str">
        <x:f>IF(B518="","",IF(COUNTIFS($B$2:B518,B518,$C$2:C518,C518,$D$2:D518,D518)=1,E518-SUMIFS($G$2:$G$1001,$B$2:$B$1001,B518,$C$2:$C$1001,C518,$D$2:$D$1001,D518),0))</x:f>
      </x:c>
    </x:row>
    <x:row r="519" ht="24" customHeight="1">
      <x:c r="A519" s="34"/>
      <x:c r="B519" s="34"/>
      <x:c r="C519" s="34"/>
      <x:c r="D519" s="34"/>
      <x:c r="E519" s="35"/>
      <x:c r="F519" s="35"/>
      <x:c r="G519" s="35"/>
      <x:c r="H519" s="35" t="str">
        <x:f>IF(B519="","",IF(COUNTIFS($B$2:B519,B519,$C$2:C519,C519,$D$2:D519,D519)=1,E519-SUMIFS($G$2:$G$1001,$B$2:$B$1001,B519,$C$2:$C$1001,C519,$D$2:$D$1001,D519),0))</x:f>
      </x:c>
    </x:row>
    <x:row r="520" ht="24" customHeight="1">
      <x:c r="A520" s="34"/>
      <x:c r="B520" s="34"/>
      <x:c r="C520" s="34"/>
      <x:c r="D520" s="34"/>
      <x:c r="E520" s="35"/>
      <x:c r="F520" s="35"/>
      <x:c r="G520" s="35"/>
      <x:c r="H520" s="35" t="str">
        <x:f>IF(B520="","",IF(COUNTIFS($B$2:B520,B520,$C$2:C520,C520,$D$2:D520,D520)=1,E520-SUMIFS($G$2:$G$1001,$B$2:$B$1001,B520,$C$2:$C$1001,C520,$D$2:$D$1001,D520),0))</x:f>
      </x:c>
    </x:row>
    <x:row r="521" ht="24" customHeight="1">
      <x:c r="A521" s="34"/>
      <x:c r="B521" s="34"/>
      <x:c r="C521" s="34"/>
      <x:c r="D521" s="34"/>
      <x:c r="E521" s="35"/>
      <x:c r="F521" s="35"/>
      <x:c r="G521" s="35"/>
      <x:c r="H521" s="35" t="str">
        <x:f>IF(B521="","",IF(COUNTIFS($B$2:B521,B521,$C$2:C521,C521,$D$2:D521,D521)=1,E521-SUMIFS($G$2:$G$1001,$B$2:$B$1001,B521,$C$2:$C$1001,C521,$D$2:$D$1001,D521),0))</x:f>
      </x:c>
    </x:row>
    <x:row r="522" ht="24" customHeight="1">
      <x:c r="A522" s="34"/>
      <x:c r="B522" s="34"/>
      <x:c r="C522" s="34"/>
      <x:c r="D522" s="34"/>
      <x:c r="E522" s="35"/>
      <x:c r="F522" s="35"/>
      <x:c r="G522" s="35"/>
      <x:c r="H522" s="35" t="str">
        <x:f>IF(B522="","",IF(COUNTIFS($B$2:B522,B522,$C$2:C522,C522,$D$2:D522,D522)=1,E522-SUMIFS($G$2:$G$1001,$B$2:$B$1001,B522,$C$2:$C$1001,C522,$D$2:$D$1001,D522),0))</x:f>
      </x:c>
    </x:row>
    <x:row r="523" ht="24" customHeight="1">
      <x:c r="A523" s="34"/>
      <x:c r="B523" s="34"/>
      <x:c r="C523" s="34"/>
      <x:c r="D523" s="34"/>
      <x:c r="E523" s="35"/>
      <x:c r="F523" s="35"/>
      <x:c r="G523" s="35"/>
      <x:c r="H523" s="35" t="str">
        <x:f>IF(B523="","",IF(COUNTIFS($B$2:B523,B523,$C$2:C523,C523,$D$2:D523,D523)=1,E523-SUMIFS($G$2:$G$1001,$B$2:$B$1001,B523,$C$2:$C$1001,C523,$D$2:$D$1001,D523),0))</x:f>
      </x:c>
    </x:row>
    <x:row r="524" ht="24" customHeight="1">
      <x:c r="A524" s="34"/>
      <x:c r="B524" s="34"/>
      <x:c r="C524" s="34"/>
      <x:c r="D524" s="34"/>
      <x:c r="E524" s="35"/>
      <x:c r="F524" s="35"/>
      <x:c r="G524" s="35"/>
      <x:c r="H524" s="35" t="str">
        <x:f>IF(B524="","",IF(COUNTIFS($B$2:B524,B524,$C$2:C524,C524,$D$2:D524,D524)=1,E524-SUMIFS($G$2:$G$1001,$B$2:$B$1001,B524,$C$2:$C$1001,C524,$D$2:$D$1001,D524),0))</x:f>
      </x:c>
    </x:row>
    <x:row r="525" ht="24" customHeight="1">
      <x:c r="A525" s="34"/>
      <x:c r="B525" s="34"/>
      <x:c r="C525" s="34"/>
      <x:c r="D525" s="34"/>
      <x:c r="E525" s="35"/>
      <x:c r="F525" s="35"/>
      <x:c r="G525" s="35"/>
      <x:c r="H525" s="35" t="str">
        <x:f>IF(B525="","",IF(COUNTIFS($B$2:B525,B525,$C$2:C525,C525,$D$2:D525,D525)=1,E525-SUMIFS($G$2:$G$1001,$B$2:$B$1001,B525,$C$2:$C$1001,C525,$D$2:$D$1001,D525),0))</x:f>
      </x:c>
    </x:row>
    <x:row r="526" ht="24" customHeight="1">
      <x:c r="A526" s="34"/>
      <x:c r="B526" s="34"/>
      <x:c r="C526" s="34"/>
      <x:c r="D526" s="34"/>
      <x:c r="E526" s="35"/>
      <x:c r="F526" s="35"/>
      <x:c r="G526" s="35"/>
      <x:c r="H526" s="35" t="str">
        <x:f>IF(B526="","",IF(COUNTIFS($B$2:B526,B526,$C$2:C526,C526,$D$2:D526,D526)=1,E526-SUMIFS($G$2:$G$1001,$B$2:$B$1001,B526,$C$2:$C$1001,C526,$D$2:$D$1001,D526),0))</x:f>
      </x:c>
    </x:row>
    <x:row r="527" ht="24" customHeight="1">
      <x:c r="A527" s="34"/>
      <x:c r="B527" s="34"/>
      <x:c r="C527" s="34"/>
      <x:c r="D527" s="34"/>
      <x:c r="E527" s="35"/>
      <x:c r="F527" s="35"/>
      <x:c r="G527" s="35"/>
      <x:c r="H527" s="35" t="str">
        <x:f>IF(B527="","",IF(COUNTIFS($B$2:B527,B527,$C$2:C527,C527,$D$2:D527,D527)=1,E527-SUMIFS($G$2:$G$1001,$B$2:$B$1001,B527,$C$2:$C$1001,C527,$D$2:$D$1001,D527),0))</x:f>
      </x:c>
    </x:row>
    <x:row r="528" ht="24" customHeight="1">
      <x:c r="A528" s="34"/>
      <x:c r="B528" s="34"/>
      <x:c r="C528" s="34"/>
      <x:c r="D528" s="34"/>
      <x:c r="E528" s="35"/>
      <x:c r="F528" s="35"/>
      <x:c r="G528" s="35"/>
      <x:c r="H528" s="35" t="str">
        <x:f>IF(B528="","",IF(COUNTIFS($B$2:B528,B528,$C$2:C528,C528,$D$2:D528,D528)=1,E528-SUMIFS($G$2:$G$1001,$B$2:$B$1001,B528,$C$2:$C$1001,C528,$D$2:$D$1001,D528),0))</x:f>
      </x:c>
    </x:row>
    <x:row r="529" ht="24" customHeight="1">
      <x:c r="A529" s="34"/>
      <x:c r="B529" s="34"/>
      <x:c r="C529" s="34"/>
      <x:c r="D529" s="34"/>
      <x:c r="E529" s="35"/>
      <x:c r="F529" s="35"/>
      <x:c r="G529" s="35"/>
      <x:c r="H529" s="35" t="str">
        <x:f>IF(B529="","",IF(COUNTIFS($B$2:B529,B529,$C$2:C529,C529,$D$2:D529,D529)=1,E529-SUMIFS($G$2:$G$1001,$B$2:$B$1001,B529,$C$2:$C$1001,C529,$D$2:$D$1001,D529),0))</x:f>
      </x:c>
    </x:row>
    <x:row r="530" ht="24" customHeight="1">
      <x:c r="A530" s="34"/>
      <x:c r="B530" s="34"/>
      <x:c r="C530" s="34"/>
      <x:c r="D530" s="34"/>
      <x:c r="E530" s="35"/>
      <x:c r="F530" s="35"/>
      <x:c r="G530" s="35"/>
      <x:c r="H530" s="35" t="str">
        <x:f>IF(B530="","",IF(COUNTIFS($B$2:B530,B530,$C$2:C530,C530,$D$2:D530,D530)=1,E530-SUMIFS($G$2:$G$1001,$B$2:$B$1001,B530,$C$2:$C$1001,C530,$D$2:$D$1001,D530),0))</x:f>
      </x:c>
    </x:row>
    <x:row r="531" ht="24" customHeight="1">
      <x:c r="A531" s="34"/>
      <x:c r="B531" s="34"/>
      <x:c r="C531" s="34"/>
      <x:c r="D531" s="34"/>
      <x:c r="E531" s="35"/>
      <x:c r="F531" s="35"/>
      <x:c r="G531" s="35"/>
      <x:c r="H531" s="35" t="str">
        <x:f>IF(B531="","",IF(COUNTIFS($B$2:B531,B531,$C$2:C531,C531,$D$2:D531,D531)=1,E531-SUMIFS($G$2:$G$1001,$B$2:$B$1001,B531,$C$2:$C$1001,C531,$D$2:$D$1001,D531),0))</x:f>
      </x:c>
    </x:row>
    <x:row r="532" ht="24" customHeight="1">
      <x:c r="A532" s="34"/>
      <x:c r="B532" s="34"/>
      <x:c r="C532" s="34"/>
      <x:c r="D532" s="34"/>
      <x:c r="E532" s="35"/>
      <x:c r="F532" s="35"/>
      <x:c r="G532" s="35"/>
      <x:c r="H532" s="35" t="str">
        <x:f>IF(B532="","",IF(COUNTIFS($B$2:B532,B532,$C$2:C532,C532,$D$2:D532,D532)=1,E532-SUMIFS($G$2:$G$1001,$B$2:$B$1001,B532,$C$2:$C$1001,C532,$D$2:$D$1001,D532),0))</x:f>
      </x:c>
    </x:row>
    <x:row r="533" ht="24" customHeight="1">
      <x:c r="A533" s="34"/>
      <x:c r="B533" s="34"/>
      <x:c r="C533" s="34"/>
      <x:c r="D533" s="34"/>
      <x:c r="E533" s="35"/>
      <x:c r="F533" s="35"/>
      <x:c r="G533" s="35"/>
      <x:c r="H533" s="35" t="str">
        <x:f>IF(B533="","",IF(COUNTIFS($B$2:B533,B533,$C$2:C533,C533,$D$2:D533,D533)=1,E533-SUMIFS($G$2:$G$1001,$B$2:$B$1001,B533,$C$2:$C$1001,C533,$D$2:$D$1001,D533),0))</x:f>
      </x:c>
    </x:row>
    <x:row r="534" ht="24" customHeight="1">
      <x:c r="A534" s="34"/>
      <x:c r="B534" s="34"/>
      <x:c r="C534" s="34"/>
      <x:c r="D534" s="34"/>
      <x:c r="E534" s="35"/>
      <x:c r="F534" s="35"/>
      <x:c r="G534" s="35"/>
      <x:c r="H534" s="35" t="str">
        <x:f>IF(B534="","",IF(COUNTIFS($B$2:B534,B534,$C$2:C534,C534,$D$2:D534,D534)=1,E534-SUMIFS($G$2:$G$1001,$B$2:$B$1001,B534,$C$2:$C$1001,C534,$D$2:$D$1001,D534),0))</x:f>
      </x:c>
    </x:row>
    <x:row r="535" ht="24" customHeight="1">
      <x:c r="A535" s="34"/>
      <x:c r="B535" s="34"/>
      <x:c r="C535" s="34"/>
      <x:c r="D535" s="34"/>
      <x:c r="E535" s="35"/>
      <x:c r="F535" s="35"/>
      <x:c r="G535" s="35"/>
      <x:c r="H535" s="35" t="str">
        <x:f>IF(B535="","",IF(COUNTIFS($B$2:B535,B535,$C$2:C535,C535,$D$2:D535,D535)=1,E535-SUMIFS($G$2:$G$1001,$B$2:$B$1001,B535,$C$2:$C$1001,C535,$D$2:$D$1001,D535),0))</x:f>
      </x:c>
    </x:row>
    <x:row r="536" ht="24" customHeight="1">
      <x:c r="A536" s="34"/>
      <x:c r="B536" s="34"/>
      <x:c r="C536" s="34"/>
      <x:c r="D536" s="34"/>
      <x:c r="E536" s="35"/>
      <x:c r="F536" s="35"/>
      <x:c r="G536" s="35"/>
      <x:c r="H536" s="35" t="str">
        <x:f>IF(B536="","",IF(COUNTIFS($B$2:B536,B536,$C$2:C536,C536,$D$2:D536,D536)=1,E536-SUMIFS($G$2:$G$1001,$B$2:$B$1001,B536,$C$2:$C$1001,C536,$D$2:$D$1001,D536),0))</x:f>
      </x:c>
    </x:row>
    <x:row r="537" ht="24" customHeight="1">
      <x:c r="A537" s="34"/>
      <x:c r="B537" s="34"/>
      <x:c r="C537" s="34"/>
      <x:c r="D537" s="34"/>
      <x:c r="E537" s="35"/>
      <x:c r="F537" s="35"/>
      <x:c r="G537" s="35"/>
      <x:c r="H537" s="35" t="str">
        <x:f>IF(B537="","",IF(COUNTIFS($B$2:B537,B537,$C$2:C537,C537,$D$2:D537,D537)=1,E537-SUMIFS($G$2:$G$1001,$B$2:$B$1001,B537,$C$2:$C$1001,C537,$D$2:$D$1001,D537),0))</x:f>
      </x:c>
    </x:row>
    <x:row r="538" ht="24" customHeight="1">
      <x:c r="A538" s="34"/>
      <x:c r="B538" s="34"/>
      <x:c r="C538" s="34"/>
      <x:c r="D538" s="34"/>
      <x:c r="E538" s="35"/>
      <x:c r="F538" s="35"/>
      <x:c r="G538" s="35"/>
      <x:c r="H538" s="35" t="str">
        <x:f>IF(B538="","",IF(COUNTIFS($B$2:B538,B538,$C$2:C538,C538,$D$2:D538,D538)=1,E538-SUMIFS($G$2:$G$1001,$B$2:$B$1001,B538,$C$2:$C$1001,C538,$D$2:$D$1001,D538),0))</x:f>
      </x:c>
    </x:row>
    <x:row r="539" ht="24" customHeight="1">
      <x:c r="A539" s="34"/>
      <x:c r="B539" s="34"/>
      <x:c r="C539" s="34"/>
      <x:c r="D539" s="34"/>
      <x:c r="E539" s="35"/>
      <x:c r="F539" s="35"/>
      <x:c r="G539" s="35"/>
      <x:c r="H539" s="35" t="str">
        <x:f>IF(B539="","",IF(COUNTIFS($B$2:B539,B539,$C$2:C539,C539,$D$2:D539,D539)=1,E539-SUMIFS($G$2:$G$1001,$B$2:$B$1001,B539,$C$2:$C$1001,C539,$D$2:$D$1001,D539),0))</x:f>
      </x:c>
    </x:row>
    <x:row r="540" ht="24" customHeight="1">
      <x:c r="A540" s="34"/>
      <x:c r="B540" s="34"/>
      <x:c r="C540" s="34"/>
      <x:c r="D540" s="34"/>
      <x:c r="E540" s="35"/>
      <x:c r="F540" s="35"/>
      <x:c r="G540" s="35"/>
      <x:c r="H540" s="35" t="str">
        <x:f>IF(B540="","",IF(COUNTIFS($B$2:B540,B540,$C$2:C540,C540,$D$2:D540,D540)=1,E540-SUMIFS($G$2:$G$1001,$B$2:$B$1001,B540,$C$2:$C$1001,C540,$D$2:$D$1001,D540),0))</x:f>
      </x:c>
    </x:row>
    <x:row r="541" ht="24" customHeight="1">
      <x:c r="A541" s="34"/>
      <x:c r="B541" s="34"/>
      <x:c r="C541" s="34"/>
      <x:c r="D541" s="34"/>
      <x:c r="E541" s="35"/>
      <x:c r="F541" s="35"/>
      <x:c r="G541" s="35"/>
      <x:c r="H541" s="35" t="str">
        <x:f>IF(B541="","",IF(COUNTIFS($B$2:B541,B541,$C$2:C541,C541,$D$2:D541,D541)=1,E541-SUMIFS($G$2:$G$1001,$B$2:$B$1001,B541,$C$2:$C$1001,C541,$D$2:$D$1001,D541),0))</x:f>
      </x:c>
    </x:row>
    <x:row r="542" ht="24" customHeight="1">
      <x:c r="A542" s="34"/>
      <x:c r="B542" s="34"/>
      <x:c r="C542" s="34"/>
      <x:c r="D542" s="34"/>
      <x:c r="E542" s="35"/>
      <x:c r="F542" s="35"/>
      <x:c r="G542" s="35"/>
      <x:c r="H542" s="35" t="str">
        <x:f>IF(B542="","",IF(COUNTIFS($B$2:B542,B542,$C$2:C542,C542,$D$2:D542,D542)=1,E542-SUMIFS($G$2:$G$1001,$B$2:$B$1001,B542,$C$2:$C$1001,C542,$D$2:$D$1001,D542),0))</x:f>
      </x:c>
    </x:row>
    <x:row r="543" ht="24" customHeight="1">
      <x:c r="A543" s="34"/>
      <x:c r="B543" s="34"/>
      <x:c r="C543" s="34"/>
      <x:c r="D543" s="34"/>
      <x:c r="E543" s="35"/>
      <x:c r="F543" s="35"/>
      <x:c r="G543" s="35"/>
      <x:c r="H543" s="35" t="str">
        <x:f>IF(B543="","",IF(COUNTIFS($B$2:B543,B543,$C$2:C543,C543,$D$2:D543,D543)=1,E543-SUMIFS($G$2:$G$1001,$B$2:$B$1001,B543,$C$2:$C$1001,C543,$D$2:$D$1001,D543),0))</x:f>
      </x:c>
    </x:row>
    <x:row r="544" ht="24" customHeight="1">
      <x:c r="A544" s="34"/>
      <x:c r="B544" s="34"/>
      <x:c r="C544" s="34"/>
      <x:c r="D544" s="34"/>
      <x:c r="E544" s="35"/>
      <x:c r="F544" s="35"/>
      <x:c r="G544" s="35"/>
      <x:c r="H544" s="35" t="str">
        <x:f>IF(B544="","",IF(COUNTIFS($B$2:B544,B544,$C$2:C544,C544,$D$2:D544,D544)=1,E544-SUMIFS($G$2:$G$1001,$B$2:$B$1001,B544,$C$2:$C$1001,C544,$D$2:$D$1001,D544),0))</x:f>
      </x:c>
    </x:row>
    <x:row r="545" ht="24" customHeight="1">
      <x:c r="A545" s="34"/>
      <x:c r="B545" s="34"/>
      <x:c r="C545" s="34"/>
      <x:c r="D545" s="34"/>
      <x:c r="E545" s="35"/>
      <x:c r="F545" s="35"/>
      <x:c r="G545" s="35"/>
      <x:c r="H545" s="35" t="str">
        <x:f>IF(B545="","",IF(COUNTIFS($B$2:B545,B545,$C$2:C545,C545,$D$2:D545,D545)=1,E545-SUMIFS($G$2:$G$1001,$B$2:$B$1001,B545,$C$2:$C$1001,C545,$D$2:$D$1001,D545),0))</x:f>
      </x:c>
    </x:row>
    <x:row r="546" ht="24" customHeight="1">
      <x:c r="A546" s="34"/>
      <x:c r="B546" s="34"/>
      <x:c r="C546" s="34"/>
      <x:c r="D546" s="34"/>
      <x:c r="E546" s="35"/>
      <x:c r="F546" s="35"/>
      <x:c r="G546" s="35"/>
      <x:c r="H546" s="35" t="str">
        <x:f>IF(B546="","",IF(COUNTIFS($B$2:B546,B546,$C$2:C546,C546,$D$2:D546,D546)=1,E546-SUMIFS($G$2:$G$1001,$B$2:$B$1001,B546,$C$2:$C$1001,C546,$D$2:$D$1001,D546),0))</x:f>
      </x:c>
    </x:row>
    <x:row r="547" ht="24" customHeight="1">
      <x:c r="A547" s="34"/>
      <x:c r="B547" s="34"/>
      <x:c r="C547" s="34"/>
      <x:c r="D547" s="34"/>
      <x:c r="E547" s="35"/>
      <x:c r="F547" s="35"/>
      <x:c r="G547" s="35"/>
      <x:c r="H547" s="35" t="str">
        <x:f>IF(B547="","",IF(COUNTIFS($B$2:B547,B547,$C$2:C547,C547,$D$2:D547,D547)=1,E547-SUMIFS($G$2:$G$1001,$B$2:$B$1001,B547,$C$2:$C$1001,C547,$D$2:$D$1001,D547),0))</x:f>
      </x:c>
    </x:row>
    <x:row r="548" ht="24" customHeight="1">
      <x:c r="A548" s="34"/>
      <x:c r="B548" s="34"/>
      <x:c r="C548" s="34"/>
      <x:c r="D548" s="34"/>
      <x:c r="E548" s="35"/>
      <x:c r="F548" s="35"/>
      <x:c r="G548" s="35"/>
      <x:c r="H548" s="35" t="str">
        <x:f>IF(B548="","",IF(COUNTIFS($B$2:B548,B548,$C$2:C548,C548,$D$2:D548,D548)=1,E548-SUMIFS($G$2:$G$1001,$B$2:$B$1001,B548,$C$2:$C$1001,C548,$D$2:$D$1001,D548),0))</x:f>
      </x:c>
    </x:row>
    <x:row r="549" ht="24" customHeight="1">
      <x:c r="A549" s="34"/>
      <x:c r="B549" s="34"/>
      <x:c r="C549" s="34"/>
      <x:c r="D549" s="34"/>
      <x:c r="E549" s="35"/>
      <x:c r="F549" s="35"/>
      <x:c r="G549" s="35"/>
      <x:c r="H549" s="35" t="str">
        <x:f>IF(B549="","",IF(COUNTIFS($B$2:B549,B549,$C$2:C549,C549,$D$2:D549,D549)=1,E549-SUMIFS($G$2:$G$1001,$B$2:$B$1001,B549,$C$2:$C$1001,C549,$D$2:$D$1001,D549),0))</x:f>
      </x:c>
    </x:row>
    <x:row r="550" ht="24" customHeight="1">
      <x:c r="A550" s="34"/>
      <x:c r="B550" s="34"/>
      <x:c r="C550" s="34"/>
      <x:c r="D550" s="34"/>
      <x:c r="E550" s="35"/>
      <x:c r="F550" s="35"/>
      <x:c r="G550" s="35"/>
      <x:c r="H550" s="35" t="str">
        <x:f>IF(B550="","",IF(COUNTIFS($B$2:B550,B550,$C$2:C550,C550,$D$2:D550,D550)=1,E550-SUMIFS($G$2:$G$1001,$B$2:$B$1001,B550,$C$2:$C$1001,C550,$D$2:$D$1001,D550),0))</x:f>
      </x:c>
    </x:row>
    <x:row r="551" ht="24" customHeight="1">
      <x:c r="A551" s="34"/>
      <x:c r="B551" s="34"/>
      <x:c r="C551" s="34"/>
      <x:c r="D551" s="34"/>
      <x:c r="E551" s="35"/>
      <x:c r="F551" s="35"/>
      <x:c r="G551" s="35"/>
      <x:c r="H551" s="35" t="str">
        <x:f>IF(B551="","",IF(COUNTIFS($B$2:B551,B551,$C$2:C551,C551,$D$2:D551,D551)=1,E551-SUMIFS($G$2:$G$1001,$B$2:$B$1001,B551,$C$2:$C$1001,C551,$D$2:$D$1001,D551),0))</x:f>
      </x:c>
    </x:row>
    <x:row r="552" ht="24" customHeight="1">
      <x:c r="A552" s="34"/>
      <x:c r="B552" s="34"/>
      <x:c r="C552" s="34"/>
      <x:c r="D552" s="34"/>
      <x:c r="E552" s="35"/>
      <x:c r="F552" s="35"/>
      <x:c r="G552" s="35"/>
      <x:c r="H552" s="35" t="str">
        <x:f>IF(B552="","",IF(COUNTIFS($B$2:B552,B552,$C$2:C552,C552,$D$2:D552,D552)=1,E552-SUMIFS($G$2:$G$1001,$B$2:$B$1001,B552,$C$2:$C$1001,C552,$D$2:$D$1001,D552),0))</x:f>
      </x:c>
    </x:row>
    <x:row r="553" ht="24" customHeight="1">
      <x:c r="A553" s="34"/>
      <x:c r="B553" s="34"/>
      <x:c r="C553" s="34"/>
      <x:c r="D553" s="34"/>
      <x:c r="E553" s="35"/>
      <x:c r="F553" s="35"/>
      <x:c r="G553" s="35"/>
      <x:c r="H553" s="35" t="str">
        <x:f>IF(B553="","",IF(COUNTIFS($B$2:B553,B553,$C$2:C553,C553,$D$2:D553,D553)=1,E553-SUMIFS($G$2:$G$1001,$B$2:$B$1001,B553,$C$2:$C$1001,C553,$D$2:$D$1001,D553),0))</x:f>
      </x:c>
    </x:row>
    <x:row r="554" ht="24" customHeight="1">
      <x:c r="A554" s="34"/>
      <x:c r="B554" s="34"/>
      <x:c r="C554" s="34"/>
      <x:c r="D554" s="34"/>
      <x:c r="E554" s="35"/>
      <x:c r="F554" s="35"/>
      <x:c r="G554" s="35"/>
      <x:c r="H554" s="35" t="str">
        <x:f>IF(B554="","",IF(COUNTIFS($B$2:B554,B554,$C$2:C554,C554,$D$2:D554,D554)=1,E554-SUMIFS($G$2:$G$1001,$B$2:$B$1001,B554,$C$2:$C$1001,C554,$D$2:$D$1001,D554),0))</x:f>
      </x:c>
    </x:row>
    <x:row r="555" ht="24" customHeight="1">
      <x:c r="A555" s="34"/>
      <x:c r="B555" s="34"/>
      <x:c r="C555" s="34"/>
      <x:c r="D555" s="34"/>
      <x:c r="E555" s="35"/>
      <x:c r="F555" s="35"/>
      <x:c r="G555" s="35"/>
      <x:c r="H555" s="35" t="str">
        <x:f>IF(B555="","",IF(COUNTIFS($B$2:B555,B555,$C$2:C555,C555,$D$2:D555,D555)=1,E555-SUMIFS($G$2:$G$1001,$B$2:$B$1001,B555,$C$2:$C$1001,C555,$D$2:$D$1001,D555),0))</x:f>
      </x:c>
    </x:row>
    <x:row r="556" ht="24" customHeight="1">
      <x:c r="A556" s="34"/>
      <x:c r="B556" s="34"/>
      <x:c r="C556" s="34"/>
      <x:c r="D556" s="34"/>
      <x:c r="E556" s="35"/>
      <x:c r="F556" s="35"/>
      <x:c r="G556" s="35"/>
      <x:c r="H556" s="35" t="str">
        <x:f>IF(B556="","",IF(COUNTIFS($B$2:B556,B556,$C$2:C556,C556,$D$2:D556,D556)=1,E556-SUMIFS($G$2:$G$1001,$B$2:$B$1001,B556,$C$2:$C$1001,C556,$D$2:$D$1001,D556),0))</x:f>
      </x:c>
    </x:row>
    <x:row r="557" ht="24" customHeight="1">
      <x:c r="A557" s="34"/>
      <x:c r="B557" s="34"/>
      <x:c r="C557" s="34"/>
      <x:c r="D557" s="34"/>
      <x:c r="E557" s="35"/>
      <x:c r="F557" s="35"/>
      <x:c r="G557" s="35"/>
      <x:c r="H557" s="35" t="str">
        <x:f>IF(B557="","",IF(COUNTIFS($B$2:B557,B557,$C$2:C557,C557,$D$2:D557,D557)=1,E557-SUMIFS($G$2:$G$1001,$B$2:$B$1001,B557,$C$2:$C$1001,C557,$D$2:$D$1001,D557),0))</x:f>
      </x:c>
    </x:row>
    <x:row r="558" ht="24" customHeight="1">
      <x:c r="A558" s="34"/>
      <x:c r="B558" s="34"/>
      <x:c r="C558" s="34"/>
      <x:c r="D558" s="34"/>
      <x:c r="E558" s="35"/>
      <x:c r="F558" s="35"/>
      <x:c r="G558" s="35"/>
      <x:c r="H558" s="35" t="str">
        <x:f>IF(B558="","",IF(COUNTIFS($B$2:B558,B558,$C$2:C558,C558,$D$2:D558,D558)=1,E558-SUMIFS($G$2:$G$1001,$B$2:$B$1001,B558,$C$2:$C$1001,C558,$D$2:$D$1001,D558),0))</x:f>
      </x:c>
    </x:row>
    <x:row r="559" ht="24" customHeight="1">
      <x:c r="A559" s="34"/>
      <x:c r="B559" s="34"/>
      <x:c r="C559" s="34"/>
      <x:c r="D559" s="34"/>
      <x:c r="E559" s="35"/>
      <x:c r="F559" s="35"/>
      <x:c r="G559" s="35"/>
      <x:c r="H559" s="35" t="str">
        <x:f>IF(B559="","",IF(COUNTIFS($B$2:B559,B559,$C$2:C559,C559,$D$2:D559,D559)=1,E559-SUMIFS($G$2:$G$1001,$B$2:$B$1001,B559,$C$2:$C$1001,C559,$D$2:$D$1001,D559),0))</x:f>
      </x:c>
    </x:row>
    <x:row r="560" ht="24" customHeight="1">
      <x:c r="A560" s="34"/>
      <x:c r="B560" s="34"/>
      <x:c r="C560" s="34"/>
      <x:c r="D560" s="34"/>
      <x:c r="E560" s="35"/>
      <x:c r="F560" s="35"/>
      <x:c r="G560" s="35"/>
      <x:c r="H560" s="35" t="str">
        <x:f>IF(B560="","",IF(COUNTIFS($B$2:B560,B560,$C$2:C560,C560,$D$2:D560,D560)=1,E560-SUMIFS($G$2:$G$1001,$B$2:$B$1001,B560,$C$2:$C$1001,C560,$D$2:$D$1001,D560),0))</x:f>
      </x:c>
    </x:row>
    <x:row r="561" ht="24" customHeight="1">
      <x:c r="A561" s="34"/>
      <x:c r="B561" s="34"/>
      <x:c r="C561" s="34"/>
      <x:c r="D561" s="34"/>
      <x:c r="E561" s="35"/>
      <x:c r="F561" s="35"/>
      <x:c r="G561" s="35"/>
      <x:c r="H561" s="35" t="str">
        <x:f>IF(B561="","",IF(COUNTIFS($B$2:B561,B561,$C$2:C561,C561,$D$2:D561,D561)=1,E561-SUMIFS($G$2:$G$1001,$B$2:$B$1001,B561,$C$2:$C$1001,C561,$D$2:$D$1001,D561),0))</x:f>
      </x:c>
    </x:row>
    <x:row r="562" ht="24" customHeight="1">
      <x:c r="A562" s="34"/>
      <x:c r="B562" s="34"/>
      <x:c r="C562" s="34"/>
      <x:c r="D562" s="34"/>
      <x:c r="E562" s="35"/>
      <x:c r="F562" s="35"/>
      <x:c r="G562" s="35"/>
      <x:c r="H562" s="35" t="str">
        <x:f>IF(B562="","",IF(COUNTIFS($B$2:B562,B562,$C$2:C562,C562,$D$2:D562,D562)=1,E562-SUMIFS($G$2:$G$1001,$B$2:$B$1001,B562,$C$2:$C$1001,C562,$D$2:$D$1001,D562),0))</x:f>
      </x:c>
    </x:row>
    <x:row r="563" ht="24" customHeight="1">
      <x:c r="A563" s="34"/>
      <x:c r="B563" s="34"/>
      <x:c r="C563" s="34"/>
      <x:c r="D563" s="34"/>
      <x:c r="E563" s="35"/>
      <x:c r="F563" s="35"/>
      <x:c r="G563" s="35"/>
      <x:c r="H563" s="35" t="str">
        <x:f>IF(B563="","",IF(COUNTIFS($B$2:B563,B563,$C$2:C563,C563,$D$2:D563,D563)=1,E563-SUMIFS($G$2:$G$1001,$B$2:$B$1001,B563,$C$2:$C$1001,C563,$D$2:$D$1001,D563),0))</x:f>
      </x:c>
    </x:row>
    <x:row r="564" ht="24" customHeight="1">
      <x:c r="A564" s="34"/>
      <x:c r="B564" s="34"/>
      <x:c r="C564" s="34"/>
      <x:c r="D564" s="34"/>
      <x:c r="E564" s="35"/>
      <x:c r="F564" s="35"/>
      <x:c r="G564" s="35"/>
      <x:c r="H564" s="35" t="str">
        <x:f>IF(B564="","",IF(COUNTIFS($B$2:B564,B564,$C$2:C564,C564,$D$2:D564,D564)=1,E564-SUMIFS($G$2:$G$1001,$B$2:$B$1001,B564,$C$2:$C$1001,C564,$D$2:$D$1001,D564),0))</x:f>
      </x:c>
    </x:row>
    <x:row r="565" ht="24" customHeight="1">
      <x:c r="A565" s="34"/>
      <x:c r="B565" s="34"/>
      <x:c r="C565" s="34"/>
      <x:c r="D565" s="34"/>
      <x:c r="E565" s="35"/>
      <x:c r="F565" s="35"/>
      <x:c r="G565" s="35"/>
      <x:c r="H565" s="35" t="str">
        <x:f>IF(B565="","",IF(COUNTIFS($B$2:B565,B565,$C$2:C565,C565,$D$2:D565,D565)=1,E565-SUMIFS($G$2:$G$1001,$B$2:$B$1001,B565,$C$2:$C$1001,C565,$D$2:$D$1001,D565),0))</x:f>
      </x:c>
    </x:row>
    <x:row r="566" ht="24" customHeight="1">
      <x:c r="A566" s="34"/>
      <x:c r="B566" s="34"/>
      <x:c r="C566" s="34"/>
      <x:c r="D566" s="34"/>
      <x:c r="E566" s="35"/>
      <x:c r="F566" s="35"/>
      <x:c r="G566" s="35"/>
      <x:c r="H566" s="35" t="str">
        <x:f>IF(B566="","",IF(COUNTIFS($B$2:B566,B566,$C$2:C566,C566,$D$2:D566,D566)=1,E566-SUMIFS($G$2:$G$1001,$B$2:$B$1001,B566,$C$2:$C$1001,C566,$D$2:$D$1001,D566),0))</x:f>
      </x:c>
    </x:row>
    <x:row r="567" ht="24" customHeight="1">
      <x:c r="A567" s="34"/>
      <x:c r="B567" s="34"/>
      <x:c r="C567" s="34"/>
      <x:c r="D567" s="34"/>
      <x:c r="E567" s="35"/>
      <x:c r="F567" s="35"/>
      <x:c r="G567" s="35"/>
      <x:c r="H567" s="35" t="str">
        <x:f>IF(B567="","",IF(COUNTIFS($B$2:B567,B567,$C$2:C567,C567,$D$2:D567,D567)=1,E567-SUMIFS($G$2:$G$1001,$B$2:$B$1001,B567,$C$2:$C$1001,C567,$D$2:$D$1001,D567),0))</x:f>
      </x:c>
    </x:row>
    <x:row r="568" ht="24" customHeight="1">
      <x:c r="A568" s="34"/>
      <x:c r="B568" s="34"/>
      <x:c r="C568" s="34"/>
      <x:c r="D568" s="34"/>
      <x:c r="E568" s="35"/>
      <x:c r="F568" s="35"/>
      <x:c r="G568" s="35"/>
      <x:c r="H568" s="35" t="str">
        <x:f>IF(B568="","",IF(COUNTIFS($B$2:B568,B568,$C$2:C568,C568,$D$2:D568,D568)=1,E568-SUMIFS($G$2:$G$1001,$B$2:$B$1001,B568,$C$2:$C$1001,C568,$D$2:$D$1001,D568),0))</x:f>
      </x:c>
    </x:row>
    <x:row r="569" ht="24" customHeight="1">
      <x:c r="A569" s="34"/>
      <x:c r="B569" s="34"/>
      <x:c r="C569" s="34"/>
      <x:c r="D569" s="34"/>
      <x:c r="E569" s="35"/>
      <x:c r="F569" s="35"/>
      <x:c r="G569" s="35"/>
      <x:c r="H569" s="35" t="str">
        <x:f>IF(B569="","",IF(COUNTIFS($B$2:B569,B569,$C$2:C569,C569,$D$2:D569,D569)=1,E569-SUMIFS($G$2:$G$1001,$B$2:$B$1001,B569,$C$2:$C$1001,C569,$D$2:$D$1001,D569),0))</x:f>
      </x:c>
    </x:row>
    <x:row r="570" ht="24" customHeight="1">
      <x:c r="A570" s="34"/>
      <x:c r="B570" s="34"/>
      <x:c r="C570" s="34"/>
      <x:c r="D570" s="34"/>
      <x:c r="E570" s="35"/>
      <x:c r="F570" s="35"/>
      <x:c r="G570" s="35"/>
      <x:c r="H570" s="35" t="str">
        <x:f>IF(B570="","",IF(COUNTIFS($B$2:B570,B570,$C$2:C570,C570,$D$2:D570,D570)=1,E570-SUMIFS($G$2:$G$1001,$B$2:$B$1001,B570,$C$2:$C$1001,C570,$D$2:$D$1001,D570),0))</x:f>
      </x:c>
    </x:row>
    <x:row r="571" ht="24" customHeight="1">
      <x:c r="A571" s="34"/>
      <x:c r="B571" s="34"/>
      <x:c r="C571" s="34"/>
      <x:c r="D571" s="34"/>
      <x:c r="E571" s="35"/>
      <x:c r="F571" s="35"/>
      <x:c r="G571" s="35"/>
      <x:c r="H571" s="35" t="str">
        <x:f>IF(B571="","",IF(COUNTIFS($B$2:B571,B571,$C$2:C571,C571,$D$2:D571,D571)=1,E571-SUMIFS($G$2:$G$1001,$B$2:$B$1001,B571,$C$2:$C$1001,C571,$D$2:$D$1001,D571),0))</x:f>
      </x:c>
    </x:row>
    <x:row r="572" ht="24" customHeight="1">
      <x:c r="A572" s="34"/>
      <x:c r="B572" s="34"/>
      <x:c r="C572" s="34"/>
      <x:c r="D572" s="34"/>
      <x:c r="E572" s="35"/>
      <x:c r="F572" s="35"/>
      <x:c r="G572" s="35"/>
      <x:c r="H572" s="35" t="str">
        <x:f>IF(B572="","",IF(COUNTIFS($B$2:B572,B572,$C$2:C572,C572,$D$2:D572,D572)=1,E572-SUMIFS($G$2:$G$1001,$B$2:$B$1001,B572,$C$2:$C$1001,C572,$D$2:$D$1001,D572),0))</x:f>
      </x:c>
    </x:row>
    <x:row r="573" ht="24" customHeight="1">
      <x:c r="A573" s="34"/>
      <x:c r="B573" s="34"/>
      <x:c r="C573" s="34"/>
      <x:c r="D573" s="34"/>
      <x:c r="E573" s="35"/>
      <x:c r="F573" s="35"/>
      <x:c r="G573" s="35"/>
      <x:c r="H573" s="35" t="str">
        <x:f>IF(B573="","",IF(COUNTIFS($B$2:B573,B573,$C$2:C573,C573,$D$2:D573,D573)=1,E573-SUMIFS($G$2:$G$1001,$B$2:$B$1001,B573,$C$2:$C$1001,C573,$D$2:$D$1001,D573),0))</x:f>
      </x:c>
    </x:row>
    <x:row r="574" ht="24" customHeight="1">
      <x:c r="A574" s="34"/>
      <x:c r="B574" s="34"/>
      <x:c r="C574" s="34"/>
      <x:c r="D574" s="34"/>
      <x:c r="E574" s="35"/>
      <x:c r="F574" s="35"/>
      <x:c r="G574" s="35"/>
      <x:c r="H574" s="35" t="str">
        <x:f>IF(B574="","",IF(COUNTIFS($B$2:B574,B574,$C$2:C574,C574,$D$2:D574,D574)=1,E574-SUMIFS($G$2:$G$1001,$B$2:$B$1001,B574,$C$2:$C$1001,C574,$D$2:$D$1001,D574),0))</x:f>
      </x:c>
    </x:row>
    <x:row r="575" ht="24" customHeight="1">
      <x:c r="A575" s="34"/>
      <x:c r="B575" s="34"/>
      <x:c r="C575" s="34"/>
      <x:c r="D575" s="34"/>
      <x:c r="E575" s="35"/>
      <x:c r="F575" s="35"/>
      <x:c r="G575" s="35"/>
      <x:c r="H575" s="35" t="str">
        <x:f>IF(B575="","",IF(COUNTIFS($B$2:B575,B575,$C$2:C575,C575,$D$2:D575,D575)=1,E575-SUMIFS($G$2:$G$1001,$B$2:$B$1001,B575,$C$2:$C$1001,C575,$D$2:$D$1001,D575),0))</x:f>
      </x:c>
    </x:row>
    <x:row r="576" ht="24" customHeight="1">
      <x:c r="A576" s="34"/>
      <x:c r="B576" s="34"/>
      <x:c r="C576" s="34"/>
      <x:c r="D576" s="34"/>
      <x:c r="E576" s="35"/>
      <x:c r="F576" s="35"/>
      <x:c r="G576" s="35"/>
      <x:c r="H576" s="35" t="str">
        <x:f>IF(B576="","",IF(COUNTIFS($B$2:B576,B576,$C$2:C576,C576,$D$2:D576,D576)=1,E576-SUMIFS($G$2:$G$1001,$B$2:$B$1001,B576,$C$2:$C$1001,C576,$D$2:$D$1001,D576),0))</x:f>
      </x:c>
    </x:row>
    <x:row r="577" ht="24" customHeight="1">
      <x:c r="A577" s="34"/>
      <x:c r="B577" s="34"/>
      <x:c r="C577" s="34"/>
      <x:c r="D577" s="34"/>
      <x:c r="E577" s="35"/>
      <x:c r="F577" s="35"/>
      <x:c r="G577" s="35"/>
      <x:c r="H577" s="35" t="str">
        <x:f>IF(B577="","",IF(COUNTIFS($B$2:B577,B577,$C$2:C577,C577,$D$2:D577,D577)=1,E577-SUMIFS($G$2:$G$1001,$B$2:$B$1001,B577,$C$2:$C$1001,C577,$D$2:$D$1001,D577),0))</x:f>
      </x:c>
    </x:row>
    <x:row r="578" ht="24" customHeight="1">
      <x:c r="A578" s="34"/>
      <x:c r="B578" s="34"/>
      <x:c r="C578" s="34"/>
      <x:c r="D578" s="34"/>
      <x:c r="E578" s="35"/>
      <x:c r="F578" s="35"/>
      <x:c r="G578" s="35"/>
      <x:c r="H578" s="35" t="str">
        <x:f>IF(B578="","",IF(COUNTIFS($B$2:B578,B578,$C$2:C578,C578,$D$2:D578,D578)=1,E578-SUMIFS($G$2:$G$1001,$B$2:$B$1001,B578,$C$2:$C$1001,C578,$D$2:$D$1001,D578),0))</x:f>
      </x:c>
    </x:row>
    <x:row r="579" ht="24" customHeight="1">
      <x:c r="A579" s="34"/>
      <x:c r="B579" s="34"/>
      <x:c r="C579" s="34"/>
      <x:c r="D579" s="34"/>
      <x:c r="E579" s="35"/>
      <x:c r="F579" s="35"/>
      <x:c r="G579" s="35"/>
      <x:c r="H579" s="35" t="str">
        <x:f>IF(B579="","",IF(COUNTIFS($B$2:B579,B579,$C$2:C579,C579,$D$2:D579,D579)=1,E579-SUMIFS($G$2:$G$1001,$B$2:$B$1001,B579,$C$2:$C$1001,C579,$D$2:$D$1001,D579),0))</x:f>
      </x:c>
    </x:row>
    <x:row r="580" ht="24" customHeight="1">
      <x:c r="A580" s="34"/>
      <x:c r="B580" s="34"/>
      <x:c r="C580" s="34"/>
      <x:c r="D580" s="34"/>
      <x:c r="E580" s="35"/>
      <x:c r="F580" s="35"/>
      <x:c r="G580" s="35"/>
      <x:c r="H580" s="35" t="str">
        <x:f>IF(B580="","",IF(COUNTIFS($B$2:B580,B580,$C$2:C580,C580,$D$2:D580,D580)=1,E580-SUMIFS($G$2:$G$1001,$B$2:$B$1001,B580,$C$2:$C$1001,C580,$D$2:$D$1001,D580),0))</x:f>
      </x:c>
    </x:row>
    <x:row r="581" ht="24" customHeight="1">
      <x:c r="A581" s="34"/>
      <x:c r="B581" s="34"/>
      <x:c r="C581" s="34"/>
      <x:c r="D581" s="34"/>
      <x:c r="E581" s="35"/>
      <x:c r="F581" s="35"/>
      <x:c r="G581" s="35"/>
      <x:c r="H581" s="35" t="str">
        <x:f>IF(B581="","",IF(COUNTIFS($B$2:B581,B581,$C$2:C581,C581,$D$2:D581,D581)=1,E581-SUMIFS($G$2:$G$1001,$B$2:$B$1001,B581,$C$2:$C$1001,C581,$D$2:$D$1001,D581),0))</x:f>
      </x:c>
    </x:row>
    <x:row r="582" ht="24" customHeight="1">
      <x:c r="A582" s="34"/>
      <x:c r="B582" s="34"/>
      <x:c r="C582" s="34"/>
      <x:c r="D582" s="34"/>
      <x:c r="E582" s="35"/>
      <x:c r="F582" s="35"/>
      <x:c r="G582" s="35"/>
      <x:c r="H582" s="35" t="str">
        <x:f>IF(B582="","",IF(COUNTIFS($B$2:B582,B582,$C$2:C582,C582,$D$2:D582,D582)=1,E582-SUMIFS($G$2:$G$1001,$B$2:$B$1001,B582,$C$2:$C$1001,C582,$D$2:$D$1001,D582),0))</x:f>
      </x:c>
    </x:row>
    <x:row r="583" ht="24" customHeight="1">
      <x:c r="A583" s="34"/>
      <x:c r="B583" s="34"/>
      <x:c r="C583" s="34"/>
      <x:c r="D583" s="34"/>
      <x:c r="E583" s="35"/>
      <x:c r="F583" s="35"/>
      <x:c r="G583" s="35"/>
      <x:c r="H583" s="35" t="str">
        <x:f>IF(B583="","",IF(COUNTIFS($B$2:B583,B583,$C$2:C583,C583,$D$2:D583,D583)=1,E583-SUMIFS($G$2:$G$1001,$B$2:$B$1001,B583,$C$2:$C$1001,C583,$D$2:$D$1001,D583),0))</x:f>
      </x:c>
    </x:row>
    <x:row r="584" ht="24" customHeight="1">
      <x:c r="A584" s="34"/>
      <x:c r="B584" s="34"/>
      <x:c r="C584" s="34"/>
      <x:c r="D584" s="34"/>
      <x:c r="E584" s="35"/>
      <x:c r="F584" s="35"/>
      <x:c r="G584" s="35"/>
      <x:c r="H584" s="35" t="str">
        <x:f>IF(B584="","",IF(COUNTIFS($B$2:B584,B584,$C$2:C584,C584,$D$2:D584,D584)=1,E584-SUMIFS($G$2:$G$1001,$B$2:$B$1001,B584,$C$2:$C$1001,C584,$D$2:$D$1001,D584),0))</x:f>
      </x:c>
    </x:row>
    <x:row r="585" ht="24" customHeight="1">
      <x:c r="A585" s="34"/>
      <x:c r="B585" s="34"/>
      <x:c r="C585" s="34"/>
      <x:c r="D585" s="34"/>
      <x:c r="E585" s="35"/>
      <x:c r="F585" s="35"/>
      <x:c r="G585" s="35"/>
      <x:c r="H585" s="35" t="str">
        <x:f>IF(B585="","",IF(COUNTIFS($B$2:B585,B585,$C$2:C585,C585,$D$2:D585,D585)=1,E585-SUMIFS($G$2:$G$1001,$B$2:$B$1001,B585,$C$2:$C$1001,C585,$D$2:$D$1001,D585),0))</x:f>
      </x:c>
    </x:row>
    <x:row r="586" ht="24" customHeight="1">
      <x:c r="A586" s="34"/>
      <x:c r="B586" s="34"/>
      <x:c r="C586" s="34"/>
      <x:c r="D586" s="34"/>
      <x:c r="E586" s="35"/>
      <x:c r="F586" s="35"/>
      <x:c r="G586" s="35"/>
      <x:c r="H586" s="35" t="str">
        <x:f>IF(B586="","",IF(COUNTIFS($B$2:B586,B586,$C$2:C586,C586,$D$2:D586,D586)=1,E586-SUMIFS($G$2:$G$1001,$B$2:$B$1001,B586,$C$2:$C$1001,C586,$D$2:$D$1001,D586),0))</x:f>
      </x:c>
    </x:row>
    <x:row r="587" ht="24" customHeight="1">
      <x:c r="A587" s="34"/>
      <x:c r="B587" s="34"/>
      <x:c r="C587" s="34"/>
      <x:c r="D587" s="34"/>
      <x:c r="E587" s="35"/>
      <x:c r="F587" s="35"/>
      <x:c r="G587" s="35"/>
      <x:c r="H587" s="35" t="str">
        <x:f>IF(B587="","",IF(COUNTIFS($B$2:B587,B587,$C$2:C587,C587,$D$2:D587,D587)=1,E587-SUMIFS($G$2:$G$1001,$B$2:$B$1001,B587,$C$2:$C$1001,C587,$D$2:$D$1001,D587),0))</x:f>
      </x:c>
    </x:row>
    <x:row r="588" ht="24" customHeight="1">
      <x:c r="A588" s="34"/>
      <x:c r="B588" s="34"/>
      <x:c r="C588" s="34"/>
      <x:c r="D588" s="34"/>
      <x:c r="E588" s="35"/>
      <x:c r="F588" s="35"/>
      <x:c r="G588" s="35"/>
      <x:c r="H588" s="35" t="str">
        <x:f>IF(B588="","",IF(COUNTIFS($B$2:B588,B588,$C$2:C588,C588,$D$2:D588,D588)=1,E588-SUMIFS($G$2:$G$1001,$B$2:$B$1001,B588,$C$2:$C$1001,C588,$D$2:$D$1001,D588),0))</x:f>
      </x:c>
    </x:row>
    <x:row r="589" ht="24" customHeight="1">
      <x:c r="A589" s="34"/>
      <x:c r="B589" s="34"/>
      <x:c r="C589" s="34"/>
      <x:c r="D589" s="34"/>
      <x:c r="E589" s="35"/>
      <x:c r="F589" s="35"/>
      <x:c r="G589" s="35"/>
      <x:c r="H589" s="35" t="str">
        <x:f>IF(B589="","",IF(COUNTIFS($B$2:B589,B589,$C$2:C589,C589,$D$2:D589,D589)=1,E589-SUMIFS($G$2:$G$1001,$B$2:$B$1001,B589,$C$2:$C$1001,C589,$D$2:$D$1001,D589),0))</x:f>
      </x:c>
    </x:row>
    <x:row r="590" ht="24" customHeight="1">
      <x:c r="A590" s="34"/>
      <x:c r="B590" s="34"/>
      <x:c r="C590" s="34"/>
      <x:c r="D590" s="34"/>
      <x:c r="E590" s="35"/>
      <x:c r="F590" s="35"/>
      <x:c r="G590" s="35"/>
      <x:c r="H590" s="35" t="str">
        <x:f>IF(B590="","",IF(COUNTIFS($B$2:B590,B590,$C$2:C590,C590,$D$2:D590,D590)=1,E590-SUMIFS($G$2:$G$1001,$B$2:$B$1001,B590,$C$2:$C$1001,C590,$D$2:$D$1001,D590),0))</x:f>
      </x:c>
    </x:row>
    <x:row r="591" ht="24" customHeight="1">
      <x:c r="A591" s="34"/>
      <x:c r="B591" s="34"/>
      <x:c r="C591" s="34"/>
      <x:c r="D591" s="34"/>
      <x:c r="E591" s="35"/>
      <x:c r="F591" s="35"/>
      <x:c r="G591" s="35"/>
      <x:c r="H591" s="35" t="str">
        <x:f>IF(B591="","",IF(COUNTIFS($B$2:B591,B591,$C$2:C591,C591,$D$2:D591,D591)=1,E591-SUMIFS($G$2:$G$1001,$B$2:$B$1001,B591,$C$2:$C$1001,C591,$D$2:$D$1001,D591),0))</x:f>
      </x:c>
    </x:row>
    <x:row r="592" ht="24" customHeight="1">
      <x:c r="A592" s="34"/>
      <x:c r="B592" s="34"/>
      <x:c r="C592" s="34"/>
      <x:c r="D592" s="34"/>
      <x:c r="E592" s="35"/>
      <x:c r="F592" s="35"/>
      <x:c r="G592" s="35"/>
      <x:c r="H592" s="35" t="str">
        <x:f>IF(B592="","",IF(COUNTIFS($B$2:B592,B592,$C$2:C592,C592,$D$2:D592,D592)=1,E592-SUMIFS($G$2:$G$1001,$B$2:$B$1001,B592,$C$2:$C$1001,C592,$D$2:$D$1001,D592),0))</x:f>
      </x:c>
    </x:row>
    <x:row r="593" ht="24" customHeight="1">
      <x:c r="A593" s="34"/>
      <x:c r="B593" s="34"/>
      <x:c r="C593" s="34"/>
      <x:c r="D593" s="34"/>
      <x:c r="E593" s="35"/>
      <x:c r="F593" s="35"/>
      <x:c r="G593" s="35"/>
      <x:c r="H593" s="35" t="str">
        <x:f>IF(B593="","",IF(COUNTIFS($B$2:B593,B593,$C$2:C593,C593,$D$2:D593,D593)=1,E593-SUMIFS($G$2:$G$1001,$B$2:$B$1001,B593,$C$2:$C$1001,C593,$D$2:$D$1001,D593),0))</x:f>
      </x:c>
    </x:row>
    <x:row r="594" ht="24" customHeight="1">
      <x:c r="A594" s="34"/>
      <x:c r="B594" s="34"/>
      <x:c r="C594" s="34"/>
      <x:c r="D594" s="34"/>
      <x:c r="E594" s="35"/>
      <x:c r="F594" s="35"/>
      <x:c r="G594" s="35"/>
      <x:c r="H594" s="35" t="str">
        <x:f>IF(B594="","",IF(COUNTIFS($B$2:B594,B594,$C$2:C594,C594,$D$2:D594,D594)=1,E594-SUMIFS($G$2:$G$1001,$B$2:$B$1001,B594,$C$2:$C$1001,C594,$D$2:$D$1001,D594),0))</x:f>
      </x:c>
    </x:row>
    <x:row r="595" ht="24" customHeight="1">
      <x:c r="A595" s="34"/>
      <x:c r="B595" s="34"/>
      <x:c r="C595" s="34"/>
      <x:c r="D595" s="34"/>
      <x:c r="E595" s="35"/>
      <x:c r="F595" s="35"/>
      <x:c r="G595" s="35"/>
      <x:c r="H595" s="35" t="str">
        <x:f>IF(B595="","",IF(COUNTIFS($B$2:B595,B595,$C$2:C595,C595,$D$2:D595,D595)=1,E595-SUMIFS($G$2:$G$1001,$B$2:$B$1001,B595,$C$2:$C$1001,C595,$D$2:$D$1001,D595),0))</x:f>
      </x:c>
    </x:row>
    <x:row r="596" ht="24" customHeight="1">
      <x:c r="A596" s="34"/>
      <x:c r="B596" s="34"/>
      <x:c r="C596" s="34"/>
      <x:c r="D596" s="34"/>
      <x:c r="E596" s="35"/>
      <x:c r="F596" s="35"/>
      <x:c r="G596" s="35"/>
      <x:c r="H596" s="35" t="str">
        <x:f>IF(B596="","",IF(COUNTIFS($B$2:B596,B596,$C$2:C596,C596,$D$2:D596,D596)=1,E596-SUMIFS($G$2:$G$1001,$B$2:$B$1001,B596,$C$2:$C$1001,C596,$D$2:$D$1001,D596),0))</x:f>
      </x:c>
    </x:row>
    <x:row r="597" ht="24" customHeight="1">
      <x:c r="A597" s="34"/>
      <x:c r="B597" s="34"/>
      <x:c r="C597" s="34"/>
      <x:c r="D597" s="34"/>
      <x:c r="E597" s="35"/>
      <x:c r="F597" s="35"/>
      <x:c r="G597" s="35"/>
      <x:c r="H597" s="35" t="str">
        <x:f>IF(B597="","",IF(COUNTIFS($B$2:B597,B597,$C$2:C597,C597,$D$2:D597,D597)=1,E597-SUMIFS($G$2:$G$1001,$B$2:$B$1001,B597,$C$2:$C$1001,C597,$D$2:$D$1001,D597),0))</x:f>
      </x:c>
    </x:row>
    <x:row r="598" ht="24" customHeight="1">
      <x:c r="A598" s="34"/>
      <x:c r="B598" s="34"/>
      <x:c r="C598" s="34"/>
      <x:c r="D598" s="34"/>
      <x:c r="E598" s="35"/>
      <x:c r="F598" s="35"/>
      <x:c r="G598" s="35"/>
      <x:c r="H598" s="35" t="str">
        <x:f>IF(B598="","",IF(COUNTIFS($B$2:B598,B598,$C$2:C598,C598,$D$2:D598,D598)=1,E598-SUMIFS($G$2:$G$1001,$B$2:$B$1001,B598,$C$2:$C$1001,C598,$D$2:$D$1001,D598),0))</x:f>
      </x:c>
    </x:row>
    <x:row r="599" ht="24" customHeight="1">
      <x:c r="A599" s="34"/>
      <x:c r="B599" s="34"/>
      <x:c r="C599" s="34"/>
      <x:c r="D599" s="34"/>
      <x:c r="E599" s="35"/>
      <x:c r="F599" s="35"/>
      <x:c r="G599" s="35"/>
      <x:c r="H599" s="35" t="str">
        <x:f>IF(B599="","",IF(COUNTIFS($B$2:B599,B599,$C$2:C599,C599,$D$2:D599,D599)=1,E599-SUMIFS($G$2:$G$1001,$B$2:$B$1001,B599,$C$2:$C$1001,C599,$D$2:$D$1001,D599),0))</x:f>
      </x:c>
    </x:row>
    <x:row r="600" ht="24" customHeight="1">
      <x:c r="A600" s="34"/>
      <x:c r="B600" s="34"/>
      <x:c r="C600" s="34"/>
      <x:c r="D600" s="34"/>
      <x:c r="E600" s="35"/>
      <x:c r="F600" s="35"/>
      <x:c r="G600" s="35"/>
      <x:c r="H600" s="35" t="str">
        <x:f>IF(B600="","",IF(COUNTIFS($B$2:B600,B600,$C$2:C600,C600,$D$2:D600,D600)=1,E600-SUMIFS($G$2:$G$1001,$B$2:$B$1001,B600,$C$2:$C$1001,C600,$D$2:$D$1001,D600),0))</x:f>
      </x:c>
    </x:row>
    <x:row r="601" ht="24" customHeight="1">
      <x:c r="A601" s="34"/>
      <x:c r="B601" s="34"/>
      <x:c r="C601" s="34"/>
      <x:c r="D601" s="34"/>
      <x:c r="E601" s="35"/>
      <x:c r="F601" s="35"/>
      <x:c r="G601" s="35"/>
      <x:c r="H601" s="35" t="str">
        <x:f>IF(B601="","",IF(COUNTIFS($B$2:B601,B601,$C$2:C601,C601,$D$2:D601,D601)=1,E601-SUMIFS($G$2:$G$1001,$B$2:$B$1001,B601,$C$2:$C$1001,C601,$D$2:$D$1001,D601),0))</x:f>
      </x:c>
    </x:row>
    <x:row r="602" ht="24" customHeight="1">
      <x:c r="A602" s="34"/>
      <x:c r="B602" s="34"/>
      <x:c r="C602" s="34"/>
      <x:c r="D602" s="34"/>
      <x:c r="E602" s="35"/>
      <x:c r="F602" s="35"/>
      <x:c r="G602" s="35"/>
      <x:c r="H602" s="35" t="str">
        <x:f>IF(B602="","",IF(COUNTIFS($B$2:B602,B602,$C$2:C602,C602,$D$2:D602,D602)=1,E602-SUMIFS($G$2:$G$1001,$B$2:$B$1001,B602,$C$2:$C$1001,C602,$D$2:$D$1001,D602),0))</x:f>
      </x:c>
    </x:row>
    <x:row r="603" ht="24" customHeight="1">
      <x:c r="A603" s="34"/>
      <x:c r="B603" s="34"/>
      <x:c r="C603" s="34"/>
      <x:c r="D603" s="34"/>
      <x:c r="E603" s="35"/>
      <x:c r="F603" s="35"/>
      <x:c r="G603" s="35"/>
      <x:c r="H603" s="35" t="str">
        <x:f>IF(B603="","",IF(COUNTIFS($B$2:B603,B603,$C$2:C603,C603,$D$2:D603,D603)=1,E603-SUMIFS($G$2:$G$1001,$B$2:$B$1001,B603,$C$2:$C$1001,C603,$D$2:$D$1001,D603),0))</x:f>
      </x:c>
    </x:row>
    <x:row r="604" ht="24" customHeight="1">
      <x:c r="A604" s="34"/>
      <x:c r="B604" s="34"/>
      <x:c r="C604" s="34"/>
      <x:c r="D604" s="34"/>
      <x:c r="E604" s="35"/>
      <x:c r="F604" s="35"/>
      <x:c r="G604" s="35"/>
      <x:c r="H604" s="35" t="str">
        <x:f>IF(B604="","",IF(COUNTIFS($B$2:B604,B604,$C$2:C604,C604,$D$2:D604,D604)=1,E604-SUMIFS($G$2:$G$1001,$B$2:$B$1001,B604,$C$2:$C$1001,C604,$D$2:$D$1001,D604),0))</x:f>
      </x:c>
    </x:row>
    <x:row r="605" ht="24" customHeight="1">
      <x:c r="A605" s="34"/>
      <x:c r="B605" s="34"/>
      <x:c r="C605" s="34"/>
      <x:c r="D605" s="34"/>
      <x:c r="E605" s="35"/>
      <x:c r="F605" s="35"/>
      <x:c r="G605" s="35"/>
      <x:c r="H605" s="35" t="str">
        <x:f>IF(B605="","",IF(COUNTIFS($B$2:B605,B605,$C$2:C605,C605,$D$2:D605,D605)=1,E605-SUMIFS($G$2:$G$1001,$B$2:$B$1001,B605,$C$2:$C$1001,C605,$D$2:$D$1001,D605),0))</x:f>
      </x:c>
    </x:row>
    <x:row r="606" ht="24" customHeight="1">
      <x:c r="A606" s="34"/>
      <x:c r="B606" s="34"/>
      <x:c r="C606" s="34"/>
      <x:c r="D606" s="34"/>
      <x:c r="E606" s="35"/>
      <x:c r="F606" s="35"/>
      <x:c r="G606" s="35"/>
      <x:c r="H606" s="35" t="str">
        <x:f>IF(B606="","",IF(COUNTIFS($B$2:B606,B606,$C$2:C606,C606,$D$2:D606,D606)=1,E606-SUMIFS($G$2:$G$1001,$B$2:$B$1001,B606,$C$2:$C$1001,C606,$D$2:$D$1001,D606),0))</x:f>
      </x:c>
    </x:row>
    <x:row r="607" ht="24" customHeight="1">
      <x:c r="A607" s="34"/>
      <x:c r="B607" s="34"/>
      <x:c r="C607" s="34"/>
      <x:c r="D607" s="34"/>
      <x:c r="E607" s="35"/>
      <x:c r="F607" s="35"/>
      <x:c r="G607" s="35"/>
      <x:c r="H607" s="35" t="str">
        <x:f>IF(B607="","",IF(COUNTIFS($B$2:B607,B607,$C$2:C607,C607,$D$2:D607,D607)=1,E607-SUMIFS($G$2:$G$1001,$B$2:$B$1001,B607,$C$2:$C$1001,C607,$D$2:$D$1001,D607),0))</x:f>
      </x:c>
    </x:row>
    <x:row r="608" ht="24" customHeight="1">
      <x:c r="A608" s="34"/>
      <x:c r="B608" s="34"/>
      <x:c r="C608" s="34"/>
      <x:c r="D608" s="34"/>
      <x:c r="E608" s="35"/>
      <x:c r="F608" s="35"/>
      <x:c r="G608" s="35"/>
      <x:c r="H608" s="35" t="str">
        <x:f>IF(B608="","",IF(COUNTIFS($B$2:B608,B608,$C$2:C608,C608,$D$2:D608,D608)=1,E608-SUMIFS($G$2:$G$1001,$B$2:$B$1001,B608,$C$2:$C$1001,C608,$D$2:$D$1001,D608),0))</x:f>
      </x:c>
    </x:row>
    <x:row r="609" ht="24" customHeight="1">
      <x:c r="A609" s="34"/>
      <x:c r="B609" s="34"/>
      <x:c r="C609" s="34"/>
      <x:c r="D609" s="34"/>
      <x:c r="E609" s="35"/>
      <x:c r="F609" s="35"/>
      <x:c r="G609" s="35"/>
      <x:c r="H609" s="35" t="str">
        <x:f>IF(B609="","",IF(COUNTIFS($B$2:B609,B609,$C$2:C609,C609,$D$2:D609,D609)=1,E609-SUMIFS($G$2:$G$1001,$B$2:$B$1001,B609,$C$2:$C$1001,C609,$D$2:$D$1001,D609),0))</x:f>
      </x:c>
    </x:row>
    <x:row r="610" ht="24" customHeight="1">
      <x:c r="A610" s="34"/>
      <x:c r="B610" s="34"/>
      <x:c r="C610" s="34"/>
      <x:c r="D610" s="34"/>
      <x:c r="E610" s="35"/>
      <x:c r="F610" s="35"/>
      <x:c r="G610" s="35"/>
      <x:c r="H610" s="35" t="str">
        <x:f>IF(B610="","",IF(COUNTIFS($B$2:B610,B610,$C$2:C610,C610,$D$2:D610,D610)=1,E610-SUMIFS($G$2:$G$1001,$B$2:$B$1001,B610,$C$2:$C$1001,C610,$D$2:$D$1001,D610),0))</x:f>
      </x:c>
    </x:row>
    <x:row r="611" ht="24" customHeight="1">
      <x:c r="A611" s="34"/>
      <x:c r="B611" s="34"/>
      <x:c r="C611" s="34"/>
      <x:c r="D611" s="34"/>
      <x:c r="E611" s="35"/>
      <x:c r="F611" s="35"/>
      <x:c r="G611" s="35"/>
      <x:c r="H611" s="35" t="str">
        <x:f>IF(B611="","",IF(COUNTIFS($B$2:B611,B611,$C$2:C611,C611,$D$2:D611,D611)=1,E611-SUMIFS($G$2:$G$1001,$B$2:$B$1001,B611,$C$2:$C$1001,C611,$D$2:$D$1001,D611),0))</x:f>
      </x:c>
    </x:row>
    <x:row r="612" ht="24" customHeight="1">
      <x:c r="A612" s="34"/>
      <x:c r="B612" s="34"/>
      <x:c r="C612" s="34"/>
      <x:c r="D612" s="34"/>
      <x:c r="E612" s="35"/>
      <x:c r="F612" s="35"/>
      <x:c r="G612" s="35"/>
      <x:c r="H612" s="35" t="str">
        <x:f>IF(B612="","",IF(COUNTIFS($B$2:B612,B612,$C$2:C612,C612,$D$2:D612,D612)=1,E612-SUMIFS($G$2:$G$1001,$B$2:$B$1001,B612,$C$2:$C$1001,C612,$D$2:$D$1001,D612),0))</x:f>
      </x:c>
    </x:row>
    <x:row r="613" ht="24" customHeight="1">
      <x:c r="A613" s="34"/>
      <x:c r="B613" s="34"/>
      <x:c r="C613" s="34"/>
      <x:c r="D613" s="34"/>
      <x:c r="E613" s="35"/>
      <x:c r="F613" s="35"/>
      <x:c r="G613" s="35"/>
      <x:c r="H613" s="35" t="str">
        <x:f>IF(B613="","",IF(COUNTIFS($B$2:B613,B613,$C$2:C613,C613,$D$2:D613,D613)=1,E613-SUMIFS($G$2:$G$1001,$B$2:$B$1001,B613,$C$2:$C$1001,C613,$D$2:$D$1001,D613),0))</x:f>
      </x:c>
    </x:row>
    <x:row r="614" ht="24" customHeight="1">
      <x:c r="A614" s="34"/>
      <x:c r="B614" s="34"/>
      <x:c r="C614" s="34"/>
      <x:c r="D614" s="34"/>
      <x:c r="E614" s="35"/>
      <x:c r="F614" s="35"/>
      <x:c r="G614" s="35"/>
      <x:c r="H614" s="35" t="str">
        <x:f>IF(B614="","",IF(COUNTIFS($B$2:B614,B614,$C$2:C614,C614,$D$2:D614,D614)=1,E614-SUMIFS($G$2:$G$1001,$B$2:$B$1001,B614,$C$2:$C$1001,C614,$D$2:$D$1001,D614),0))</x:f>
      </x:c>
    </x:row>
    <x:row r="615" ht="24" customHeight="1">
      <x:c r="A615" s="34"/>
      <x:c r="B615" s="34"/>
      <x:c r="C615" s="34"/>
      <x:c r="D615" s="34"/>
      <x:c r="E615" s="35"/>
      <x:c r="F615" s="35"/>
      <x:c r="G615" s="35"/>
      <x:c r="H615" s="35" t="str">
        <x:f>IF(B615="","",IF(COUNTIFS($B$2:B615,B615,$C$2:C615,C615,$D$2:D615,D615)=1,E615-SUMIFS($G$2:$G$1001,$B$2:$B$1001,B615,$C$2:$C$1001,C615,$D$2:$D$1001,D615),0))</x:f>
      </x:c>
    </x:row>
    <x:row r="616" ht="24" customHeight="1">
      <x:c r="A616" s="34"/>
      <x:c r="B616" s="34"/>
      <x:c r="C616" s="34"/>
      <x:c r="D616" s="34"/>
      <x:c r="E616" s="35"/>
      <x:c r="F616" s="35"/>
      <x:c r="G616" s="35"/>
      <x:c r="H616" s="35" t="str">
        <x:f>IF(B616="","",IF(COUNTIFS($B$2:B616,B616,$C$2:C616,C616,$D$2:D616,D616)=1,E616-SUMIFS($G$2:$G$1001,$B$2:$B$1001,B616,$C$2:$C$1001,C616,$D$2:$D$1001,D616),0))</x:f>
      </x:c>
    </x:row>
    <x:row r="617" ht="24" customHeight="1">
      <x:c r="A617" s="34"/>
      <x:c r="B617" s="34"/>
      <x:c r="C617" s="34"/>
      <x:c r="D617" s="34"/>
      <x:c r="E617" s="35"/>
      <x:c r="F617" s="35"/>
      <x:c r="G617" s="35"/>
      <x:c r="H617" s="35" t="str">
        <x:f>IF(B617="","",IF(COUNTIFS($B$2:B617,B617,$C$2:C617,C617,$D$2:D617,D617)=1,E617-SUMIFS($G$2:$G$1001,$B$2:$B$1001,B617,$C$2:$C$1001,C617,$D$2:$D$1001,D617),0))</x:f>
      </x:c>
    </x:row>
    <x:row r="618" ht="24" customHeight="1">
      <x:c r="A618" s="34"/>
      <x:c r="B618" s="34"/>
      <x:c r="C618" s="34"/>
      <x:c r="D618" s="34"/>
      <x:c r="E618" s="35"/>
      <x:c r="F618" s="35"/>
      <x:c r="G618" s="35"/>
      <x:c r="H618" s="35" t="str">
        <x:f>IF(B618="","",IF(COUNTIFS($B$2:B618,B618,$C$2:C618,C618,$D$2:D618,D618)=1,E618-SUMIFS($G$2:$G$1001,$B$2:$B$1001,B618,$C$2:$C$1001,C618,$D$2:$D$1001,D618),0))</x:f>
      </x:c>
    </x:row>
    <x:row r="619" ht="24" customHeight="1">
      <x:c r="A619" s="34"/>
      <x:c r="B619" s="34"/>
      <x:c r="C619" s="34"/>
      <x:c r="D619" s="34"/>
      <x:c r="E619" s="35"/>
      <x:c r="F619" s="35"/>
      <x:c r="G619" s="35"/>
      <x:c r="H619" s="35" t="str">
        <x:f>IF(B619="","",IF(COUNTIFS($B$2:B619,B619,$C$2:C619,C619,$D$2:D619,D619)=1,E619-SUMIFS($G$2:$G$1001,$B$2:$B$1001,B619,$C$2:$C$1001,C619,$D$2:$D$1001,D619),0))</x:f>
      </x:c>
    </x:row>
    <x:row r="620" ht="24" customHeight="1">
      <x:c r="A620" s="34"/>
      <x:c r="B620" s="34"/>
      <x:c r="C620" s="34"/>
      <x:c r="D620" s="34"/>
      <x:c r="E620" s="35"/>
      <x:c r="F620" s="35"/>
      <x:c r="G620" s="35"/>
      <x:c r="H620" s="35" t="str">
        <x:f>IF(B620="","",IF(COUNTIFS($B$2:B620,B620,$C$2:C620,C620,$D$2:D620,D620)=1,E620-SUMIFS($G$2:$G$1001,$B$2:$B$1001,B620,$C$2:$C$1001,C620,$D$2:$D$1001,D620),0))</x:f>
      </x:c>
    </x:row>
    <x:row r="621" ht="24" customHeight="1">
      <x:c r="A621" s="34"/>
      <x:c r="B621" s="34"/>
      <x:c r="C621" s="34"/>
      <x:c r="D621" s="34"/>
      <x:c r="E621" s="35"/>
      <x:c r="F621" s="35"/>
      <x:c r="G621" s="35"/>
      <x:c r="H621" s="35" t="str">
        <x:f>IF(B621="","",IF(COUNTIFS($B$2:B621,B621,$C$2:C621,C621,$D$2:D621,D621)=1,E621-SUMIFS($G$2:$G$1001,$B$2:$B$1001,B621,$C$2:$C$1001,C621,$D$2:$D$1001,D621),0))</x:f>
      </x:c>
    </x:row>
    <x:row r="622" ht="24" customHeight="1">
      <x:c r="A622" s="34"/>
      <x:c r="B622" s="34"/>
      <x:c r="C622" s="34"/>
      <x:c r="D622" s="34"/>
      <x:c r="E622" s="35"/>
      <x:c r="F622" s="35"/>
      <x:c r="G622" s="35"/>
      <x:c r="H622" s="35" t="str">
        <x:f>IF(B622="","",IF(COUNTIFS($B$2:B622,B622,$C$2:C622,C622,$D$2:D622,D622)=1,E622-SUMIFS($G$2:$G$1001,$B$2:$B$1001,B622,$C$2:$C$1001,C622,$D$2:$D$1001,D622),0))</x:f>
      </x:c>
    </x:row>
    <x:row r="623" ht="24" customHeight="1">
      <x:c r="A623" s="34"/>
      <x:c r="B623" s="34"/>
      <x:c r="C623" s="34"/>
      <x:c r="D623" s="34"/>
      <x:c r="E623" s="35"/>
      <x:c r="F623" s="35"/>
      <x:c r="G623" s="35"/>
      <x:c r="H623" s="35" t="str">
        <x:f>IF(B623="","",IF(COUNTIFS($B$2:B623,B623,$C$2:C623,C623,$D$2:D623,D623)=1,E623-SUMIFS($G$2:$G$1001,$B$2:$B$1001,B623,$C$2:$C$1001,C623,$D$2:$D$1001,D623),0))</x:f>
      </x:c>
    </x:row>
    <x:row r="624" ht="24" customHeight="1">
      <x:c r="A624" s="34"/>
      <x:c r="B624" s="34"/>
      <x:c r="C624" s="34"/>
      <x:c r="D624" s="34"/>
      <x:c r="E624" s="35"/>
      <x:c r="F624" s="35"/>
      <x:c r="G624" s="35"/>
      <x:c r="H624" s="35" t="str">
        <x:f>IF(B624="","",IF(COUNTIFS($B$2:B624,B624,$C$2:C624,C624,$D$2:D624,D624)=1,E624-SUMIFS($G$2:$G$1001,$B$2:$B$1001,B624,$C$2:$C$1001,C624,$D$2:$D$1001,D624),0))</x:f>
      </x:c>
    </x:row>
    <x:row r="625" ht="24" customHeight="1">
      <x:c r="A625" s="34"/>
      <x:c r="B625" s="34"/>
      <x:c r="C625" s="34"/>
      <x:c r="D625" s="34"/>
      <x:c r="E625" s="35"/>
      <x:c r="F625" s="35"/>
      <x:c r="G625" s="35"/>
      <x:c r="H625" s="35" t="str">
        <x:f>IF(B625="","",IF(COUNTIFS($B$2:B625,B625,$C$2:C625,C625,$D$2:D625,D625)=1,E625-SUMIFS($G$2:$G$1001,$B$2:$B$1001,B625,$C$2:$C$1001,C625,$D$2:$D$1001,D625),0))</x:f>
      </x:c>
    </x:row>
    <x:row r="626" ht="24" customHeight="1">
      <x:c r="A626" s="34"/>
      <x:c r="B626" s="34"/>
      <x:c r="C626" s="34"/>
      <x:c r="D626" s="34"/>
      <x:c r="E626" s="35"/>
      <x:c r="F626" s="35"/>
      <x:c r="G626" s="35"/>
      <x:c r="H626" s="35" t="str">
        <x:f>IF(B626="","",IF(COUNTIFS($B$2:B626,B626,$C$2:C626,C626,$D$2:D626,D626)=1,E626-SUMIFS($G$2:$G$1001,$B$2:$B$1001,B626,$C$2:$C$1001,C626,$D$2:$D$1001,D626),0))</x:f>
      </x:c>
    </x:row>
    <x:row r="627" ht="24" customHeight="1">
      <x:c r="A627" s="34"/>
      <x:c r="B627" s="34"/>
      <x:c r="C627" s="34"/>
      <x:c r="D627" s="34"/>
      <x:c r="E627" s="35"/>
      <x:c r="F627" s="35"/>
      <x:c r="G627" s="35"/>
      <x:c r="H627" s="35" t="str">
        <x:f>IF(B627="","",IF(COUNTIFS($B$2:B627,B627,$C$2:C627,C627,$D$2:D627,D627)=1,E627-SUMIFS($G$2:$G$1001,$B$2:$B$1001,B627,$C$2:$C$1001,C627,$D$2:$D$1001,D627),0))</x:f>
      </x:c>
    </x:row>
    <x:row r="628" ht="24" customHeight="1">
      <x:c r="A628" s="34"/>
      <x:c r="B628" s="34"/>
      <x:c r="C628" s="34"/>
      <x:c r="D628" s="34"/>
      <x:c r="E628" s="35"/>
      <x:c r="F628" s="35"/>
      <x:c r="G628" s="35"/>
      <x:c r="H628" s="35" t="str">
        <x:f>IF(B628="","",IF(COUNTIFS($B$2:B628,B628,$C$2:C628,C628,$D$2:D628,D628)=1,E628-SUMIFS($G$2:$G$1001,$B$2:$B$1001,B628,$C$2:$C$1001,C628,$D$2:$D$1001,D628),0))</x:f>
      </x:c>
    </x:row>
    <x:row r="629" ht="24" customHeight="1">
      <x:c r="A629" s="34"/>
      <x:c r="B629" s="34"/>
      <x:c r="C629" s="34"/>
      <x:c r="D629" s="34"/>
      <x:c r="E629" s="35"/>
      <x:c r="F629" s="35"/>
      <x:c r="G629" s="35"/>
      <x:c r="H629" s="35" t="str">
        <x:f>IF(B629="","",IF(COUNTIFS($B$2:B629,B629,$C$2:C629,C629,$D$2:D629,D629)=1,E629-SUMIFS($G$2:$G$1001,$B$2:$B$1001,B629,$C$2:$C$1001,C629,$D$2:$D$1001,D629),0))</x:f>
      </x:c>
    </x:row>
    <x:row r="630" ht="24" customHeight="1">
      <x:c r="A630" s="34"/>
      <x:c r="B630" s="34"/>
      <x:c r="C630" s="34"/>
      <x:c r="D630" s="34"/>
      <x:c r="E630" s="35"/>
      <x:c r="F630" s="35"/>
      <x:c r="G630" s="35"/>
      <x:c r="H630" s="35" t="str">
        <x:f>IF(B630="","",IF(COUNTIFS($B$2:B630,B630,$C$2:C630,C630,$D$2:D630,D630)=1,E630-SUMIFS($G$2:$G$1001,$B$2:$B$1001,B630,$C$2:$C$1001,C630,$D$2:$D$1001,D630),0))</x:f>
      </x:c>
    </x:row>
    <x:row r="631" ht="24" customHeight="1">
      <x:c r="A631" s="34"/>
      <x:c r="B631" s="34"/>
      <x:c r="C631" s="34"/>
      <x:c r="D631" s="34"/>
      <x:c r="E631" s="35"/>
      <x:c r="F631" s="35"/>
      <x:c r="G631" s="35"/>
      <x:c r="H631" s="35" t="str">
        <x:f>IF(B631="","",IF(COUNTIFS($B$2:B631,B631,$C$2:C631,C631,$D$2:D631,D631)=1,E631-SUMIFS($G$2:$G$1001,$B$2:$B$1001,B631,$C$2:$C$1001,C631,$D$2:$D$1001,D631),0))</x:f>
      </x:c>
    </x:row>
    <x:row r="632" ht="24" customHeight="1">
      <x:c r="A632" s="34"/>
      <x:c r="B632" s="34"/>
      <x:c r="C632" s="34"/>
      <x:c r="D632" s="34"/>
      <x:c r="E632" s="35"/>
      <x:c r="F632" s="35"/>
      <x:c r="G632" s="35"/>
      <x:c r="H632" s="35" t="str">
        <x:f>IF(B632="","",IF(COUNTIFS($B$2:B632,B632,$C$2:C632,C632,$D$2:D632,D632)=1,E632-SUMIFS($G$2:$G$1001,$B$2:$B$1001,B632,$C$2:$C$1001,C632,$D$2:$D$1001,D632),0))</x:f>
      </x:c>
    </x:row>
    <x:row r="633" ht="24" customHeight="1">
      <x:c r="A633" s="34"/>
      <x:c r="B633" s="34"/>
      <x:c r="C633" s="34"/>
      <x:c r="D633" s="34"/>
      <x:c r="E633" s="35"/>
      <x:c r="F633" s="35"/>
      <x:c r="G633" s="35"/>
      <x:c r="H633" s="35" t="str">
        <x:f>IF(B633="","",IF(COUNTIFS($B$2:B633,B633,$C$2:C633,C633,$D$2:D633,D633)=1,E633-SUMIFS($G$2:$G$1001,$B$2:$B$1001,B633,$C$2:$C$1001,C633,$D$2:$D$1001,D633),0))</x:f>
      </x:c>
    </x:row>
    <x:row r="634" ht="24" customHeight="1">
      <x:c r="A634" s="34"/>
      <x:c r="B634" s="34"/>
      <x:c r="C634" s="34"/>
      <x:c r="D634" s="34"/>
      <x:c r="E634" s="35"/>
      <x:c r="F634" s="35"/>
      <x:c r="G634" s="35"/>
      <x:c r="H634" s="35" t="str">
        <x:f>IF(B634="","",IF(COUNTIFS($B$2:B634,B634,$C$2:C634,C634,$D$2:D634,D634)=1,E634-SUMIFS($G$2:$G$1001,$B$2:$B$1001,B634,$C$2:$C$1001,C634,$D$2:$D$1001,D634),0))</x:f>
      </x:c>
    </x:row>
    <x:row r="635" ht="24" customHeight="1">
      <x:c r="A635" s="34"/>
      <x:c r="B635" s="34"/>
      <x:c r="C635" s="34"/>
      <x:c r="D635" s="34"/>
      <x:c r="E635" s="35"/>
      <x:c r="F635" s="35"/>
      <x:c r="G635" s="35"/>
      <x:c r="H635" s="35" t="str">
        <x:f>IF(B635="","",IF(COUNTIFS($B$2:B635,B635,$C$2:C635,C635,$D$2:D635,D635)=1,E635-SUMIFS($G$2:$G$1001,$B$2:$B$1001,B635,$C$2:$C$1001,C635,$D$2:$D$1001,D635),0))</x:f>
      </x:c>
    </x:row>
    <x:row r="636" ht="24" customHeight="1">
      <x:c r="A636" s="34"/>
      <x:c r="B636" s="34"/>
      <x:c r="C636" s="34"/>
      <x:c r="D636" s="34"/>
      <x:c r="E636" s="35"/>
      <x:c r="F636" s="35"/>
      <x:c r="G636" s="35"/>
      <x:c r="H636" s="35" t="str">
        <x:f>IF(B636="","",IF(COUNTIFS($B$2:B636,B636,$C$2:C636,C636,$D$2:D636,D636)=1,E636-SUMIFS($G$2:$G$1001,$B$2:$B$1001,B636,$C$2:$C$1001,C636,$D$2:$D$1001,D636),0))</x:f>
      </x:c>
    </x:row>
    <x:row r="637" ht="24" customHeight="1">
      <x:c r="A637" s="34"/>
      <x:c r="B637" s="34"/>
      <x:c r="C637" s="34"/>
      <x:c r="D637" s="34"/>
      <x:c r="E637" s="35"/>
      <x:c r="F637" s="35"/>
      <x:c r="G637" s="35"/>
      <x:c r="H637" s="35" t="str">
        <x:f>IF(B637="","",IF(COUNTIFS($B$2:B637,B637,$C$2:C637,C637,$D$2:D637,D637)=1,E637-SUMIFS($G$2:$G$1001,$B$2:$B$1001,B637,$C$2:$C$1001,C637,$D$2:$D$1001,D637),0))</x:f>
      </x:c>
    </x:row>
    <x:row r="638" ht="24" customHeight="1">
      <x:c r="A638" s="34"/>
      <x:c r="B638" s="34"/>
      <x:c r="C638" s="34"/>
      <x:c r="D638" s="34"/>
      <x:c r="E638" s="35"/>
      <x:c r="F638" s="35"/>
      <x:c r="G638" s="35"/>
      <x:c r="H638" s="35" t="str">
        <x:f>IF(B638="","",IF(COUNTIFS($B$2:B638,B638,$C$2:C638,C638,$D$2:D638,D638)=1,E638-SUMIFS($G$2:$G$1001,$B$2:$B$1001,B638,$C$2:$C$1001,C638,$D$2:$D$1001,D638),0))</x:f>
      </x:c>
    </x:row>
    <x:row r="639" ht="24" customHeight="1">
      <x:c r="A639" s="34"/>
      <x:c r="B639" s="34"/>
      <x:c r="C639" s="34"/>
      <x:c r="D639" s="34"/>
      <x:c r="E639" s="35"/>
      <x:c r="F639" s="35"/>
      <x:c r="G639" s="35"/>
      <x:c r="H639" s="35" t="str">
        <x:f>IF(B639="","",IF(COUNTIFS($B$2:B639,B639,$C$2:C639,C639,$D$2:D639,D639)=1,E639-SUMIFS($G$2:$G$1001,$B$2:$B$1001,B639,$C$2:$C$1001,C639,$D$2:$D$1001,D639),0))</x:f>
      </x:c>
    </x:row>
    <x:row r="640" ht="24" customHeight="1">
      <x:c r="A640" s="34"/>
      <x:c r="B640" s="34"/>
      <x:c r="C640" s="34"/>
      <x:c r="D640" s="34"/>
      <x:c r="E640" s="35"/>
      <x:c r="F640" s="35"/>
      <x:c r="G640" s="35"/>
      <x:c r="H640" s="35" t="str">
        <x:f>IF(B640="","",IF(COUNTIFS($B$2:B640,B640,$C$2:C640,C640,$D$2:D640,D640)=1,E640-SUMIFS($G$2:$G$1001,$B$2:$B$1001,B640,$C$2:$C$1001,C640,$D$2:$D$1001,D640),0))</x:f>
      </x:c>
    </x:row>
    <x:row r="641" ht="24" customHeight="1">
      <x:c r="A641" s="34"/>
      <x:c r="B641" s="34"/>
      <x:c r="C641" s="34"/>
      <x:c r="D641" s="34"/>
      <x:c r="E641" s="35"/>
      <x:c r="F641" s="35"/>
      <x:c r="G641" s="35"/>
      <x:c r="H641" s="35" t="str">
        <x:f>IF(B641="","",IF(COUNTIFS($B$2:B641,B641,$C$2:C641,C641,$D$2:D641,D641)=1,E641-SUMIFS($G$2:$G$1001,$B$2:$B$1001,B641,$C$2:$C$1001,C641,$D$2:$D$1001,D641),0))</x:f>
      </x:c>
    </x:row>
    <x:row r="642" ht="24" customHeight="1">
      <x:c r="A642" s="34"/>
      <x:c r="B642" s="34"/>
      <x:c r="C642" s="34"/>
      <x:c r="D642" s="34"/>
      <x:c r="E642" s="35"/>
      <x:c r="F642" s="35"/>
      <x:c r="G642" s="35"/>
      <x:c r="H642" s="35" t="str">
        <x:f>IF(B642="","",IF(COUNTIFS($B$2:B642,B642,$C$2:C642,C642,$D$2:D642,D642)=1,E642-SUMIFS($G$2:$G$1001,$B$2:$B$1001,B642,$C$2:$C$1001,C642,$D$2:$D$1001,D642),0))</x:f>
      </x:c>
    </x:row>
    <x:row r="643" ht="24" customHeight="1">
      <x:c r="A643" s="34"/>
      <x:c r="B643" s="34"/>
      <x:c r="C643" s="34"/>
      <x:c r="D643" s="34"/>
      <x:c r="E643" s="35"/>
      <x:c r="F643" s="35"/>
      <x:c r="G643" s="35"/>
      <x:c r="H643" s="35" t="str">
        <x:f>IF(B643="","",IF(COUNTIFS($B$2:B643,B643,$C$2:C643,C643,$D$2:D643,D643)=1,E643-SUMIFS($G$2:$G$1001,$B$2:$B$1001,B643,$C$2:$C$1001,C643,$D$2:$D$1001,D643),0))</x:f>
      </x:c>
    </x:row>
    <x:row r="644" ht="24" customHeight="1">
      <x:c r="A644" s="34"/>
      <x:c r="B644" s="34"/>
      <x:c r="C644" s="34"/>
      <x:c r="D644" s="34"/>
      <x:c r="E644" s="35"/>
      <x:c r="F644" s="35"/>
      <x:c r="G644" s="35"/>
      <x:c r="H644" s="35" t="str">
        <x:f>IF(B644="","",IF(COUNTIFS($B$2:B644,B644,$C$2:C644,C644,$D$2:D644,D644)=1,E644-SUMIFS($G$2:$G$1001,$B$2:$B$1001,B644,$C$2:$C$1001,C644,$D$2:$D$1001,D644),0))</x:f>
      </x:c>
    </x:row>
    <x:row r="645" ht="24" customHeight="1">
      <x:c r="A645" s="34"/>
      <x:c r="B645" s="34"/>
      <x:c r="C645" s="34"/>
      <x:c r="D645" s="34"/>
      <x:c r="E645" s="35"/>
      <x:c r="F645" s="35"/>
      <x:c r="G645" s="35"/>
      <x:c r="H645" s="35" t="str">
        <x:f>IF(B645="","",IF(COUNTIFS($B$2:B645,B645,$C$2:C645,C645,$D$2:D645,D645)=1,E645-SUMIFS($G$2:$G$1001,$B$2:$B$1001,B645,$C$2:$C$1001,C645,$D$2:$D$1001,D645),0))</x:f>
      </x:c>
    </x:row>
    <x:row r="646" ht="24" customHeight="1">
      <x:c r="A646" s="34"/>
      <x:c r="B646" s="34"/>
      <x:c r="C646" s="34"/>
      <x:c r="D646" s="34"/>
      <x:c r="E646" s="35"/>
      <x:c r="F646" s="35"/>
      <x:c r="G646" s="35"/>
      <x:c r="H646" s="35" t="str">
        <x:f>IF(B646="","",IF(COUNTIFS($B$2:B646,B646,$C$2:C646,C646,$D$2:D646,D646)=1,E646-SUMIFS($G$2:$G$1001,$B$2:$B$1001,B646,$C$2:$C$1001,C646,$D$2:$D$1001,D646),0))</x:f>
      </x:c>
    </x:row>
    <x:row r="647" ht="24" customHeight="1">
      <x:c r="A647" s="34"/>
      <x:c r="B647" s="34"/>
      <x:c r="C647" s="34"/>
      <x:c r="D647" s="34"/>
      <x:c r="E647" s="35"/>
      <x:c r="F647" s="35"/>
      <x:c r="G647" s="35"/>
      <x:c r="H647" s="35" t="str">
        <x:f>IF(B647="","",IF(COUNTIFS($B$2:B647,B647,$C$2:C647,C647,$D$2:D647,D647)=1,E647-SUMIFS($G$2:$G$1001,$B$2:$B$1001,B647,$C$2:$C$1001,C647,$D$2:$D$1001,D647),0))</x:f>
      </x:c>
    </x:row>
    <x:row r="648" ht="24" customHeight="1">
      <x:c r="A648" s="34"/>
      <x:c r="B648" s="34"/>
      <x:c r="C648" s="34"/>
      <x:c r="D648" s="34"/>
      <x:c r="E648" s="35"/>
      <x:c r="F648" s="35"/>
      <x:c r="G648" s="35"/>
      <x:c r="H648" s="35" t="str">
        <x:f>IF(B648="","",IF(COUNTIFS($B$2:B648,B648,$C$2:C648,C648,$D$2:D648,D648)=1,E648-SUMIFS($G$2:$G$1001,$B$2:$B$1001,B648,$C$2:$C$1001,C648,$D$2:$D$1001,D648),0))</x:f>
      </x:c>
    </x:row>
    <x:row r="649" ht="24" customHeight="1">
      <x:c r="A649" s="34"/>
      <x:c r="B649" s="34"/>
      <x:c r="C649" s="34"/>
      <x:c r="D649" s="34"/>
      <x:c r="E649" s="35"/>
      <x:c r="F649" s="35"/>
      <x:c r="G649" s="35"/>
      <x:c r="H649" s="35" t="str">
        <x:f>IF(B649="","",IF(COUNTIFS($B$2:B649,B649,$C$2:C649,C649,$D$2:D649,D649)=1,E649-SUMIFS($G$2:$G$1001,$B$2:$B$1001,B649,$C$2:$C$1001,C649,$D$2:$D$1001,D649),0))</x:f>
      </x:c>
    </x:row>
    <x:row r="650" ht="24" customHeight="1">
      <x:c r="A650" s="34"/>
      <x:c r="B650" s="34"/>
      <x:c r="C650" s="34"/>
      <x:c r="D650" s="34"/>
      <x:c r="E650" s="35"/>
      <x:c r="F650" s="35"/>
      <x:c r="G650" s="35"/>
      <x:c r="H650" s="35" t="str">
        <x:f>IF(B650="","",IF(COUNTIFS($B$2:B650,B650,$C$2:C650,C650,$D$2:D650,D650)=1,E650-SUMIFS($G$2:$G$1001,$B$2:$B$1001,B650,$C$2:$C$1001,C650,$D$2:$D$1001,D650),0))</x:f>
      </x:c>
    </x:row>
    <x:row r="651" ht="24" customHeight="1">
      <x:c r="A651" s="34"/>
      <x:c r="B651" s="34"/>
      <x:c r="C651" s="34"/>
      <x:c r="D651" s="34"/>
      <x:c r="E651" s="35"/>
      <x:c r="F651" s="35"/>
      <x:c r="G651" s="35"/>
      <x:c r="H651" s="35" t="str">
        <x:f>IF(B651="","",IF(COUNTIFS($B$2:B651,B651,$C$2:C651,C651,$D$2:D651,D651)=1,E651-SUMIFS($G$2:$G$1001,$B$2:$B$1001,B651,$C$2:$C$1001,C651,$D$2:$D$1001,D651),0))</x:f>
      </x:c>
    </x:row>
    <x:row r="652" ht="24" customHeight="1">
      <x:c r="A652" s="34"/>
      <x:c r="B652" s="34"/>
      <x:c r="C652" s="34"/>
      <x:c r="D652" s="34"/>
      <x:c r="E652" s="35"/>
      <x:c r="F652" s="35"/>
      <x:c r="G652" s="35"/>
      <x:c r="H652" s="35" t="str">
        <x:f>IF(B652="","",IF(COUNTIFS($B$2:B652,B652,$C$2:C652,C652,$D$2:D652,D652)=1,E652-SUMIFS($G$2:$G$1001,$B$2:$B$1001,B652,$C$2:$C$1001,C652,$D$2:$D$1001,D652),0))</x:f>
      </x:c>
    </x:row>
    <x:row r="653" ht="24" customHeight="1">
      <x:c r="A653" s="34"/>
      <x:c r="B653" s="34"/>
      <x:c r="C653" s="34"/>
      <x:c r="D653" s="34"/>
      <x:c r="E653" s="35"/>
      <x:c r="F653" s="35"/>
      <x:c r="G653" s="35"/>
      <x:c r="H653" s="35" t="str">
        <x:f>IF(B653="","",IF(COUNTIFS($B$2:B653,B653,$C$2:C653,C653,$D$2:D653,D653)=1,E653-SUMIFS($G$2:$G$1001,$B$2:$B$1001,B653,$C$2:$C$1001,C653,$D$2:$D$1001,D653),0))</x:f>
      </x:c>
    </x:row>
    <x:row r="654" ht="24" customHeight="1">
      <x:c r="A654" s="34"/>
      <x:c r="B654" s="34"/>
      <x:c r="C654" s="34"/>
      <x:c r="D654" s="34"/>
      <x:c r="E654" s="35"/>
      <x:c r="F654" s="35"/>
      <x:c r="G654" s="35"/>
      <x:c r="H654" s="35" t="str">
        <x:f>IF(B654="","",IF(COUNTIFS($B$2:B654,B654,$C$2:C654,C654,$D$2:D654,D654)=1,E654-SUMIFS($G$2:$G$1001,$B$2:$B$1001,B654,$C$2:$C$1001,C654,$D$2:$D$1001,D654),0))</x:f>
      </x:c>
    </x:row>
    <x:row r="655" ht="24" customHeight="1">
      <x:c r="A655" s="34"/>
      <x:c r="B655" s="34"/>
      <x:c r="C655" s="34"/>
      <x:c r="D655" s="34"/>
      <x:c r="E655" s="35"/>
      <x:c r="F655" s="35"/>
      <x:c r="G655" s="35"/>
      <x:c r="H655" s="35" t="str">
        <x:f>IF(B655="","",IF(COUNTIFS($B$2:B655,B655,$C$2:C655,C655,$D$2:D655,D655)=1,E655-SUMIFS($G$2:$G$1001,$B$2:$B$1001,B655,$C$2:$C$1001,C655,$D$2:$D$1001,D655),0))</x:f>
      </x:c>
    </x:row>
    <x:row r="656" ht="24" customHeight="1">
      <x:c r="A656" s="34"/>
      <x:c r="B656" s="34"/>
      <x:c r="C656" s="34"/>
      <x:c r="D656" s="34"/>
      <x:c r="E656" s="35"/>
      <x:c r="F656" s="35"/>
      <x:c r="G656" s="35"/>
      <x:c r="H656" s="35" t="str">
        <x:f>IF(B656="","",IF(COUNTIFS($B$2:B656,B656,$C$2:C656,C656,$D$2:D656,D656)=1,E656-SUMIFS($G$2:$G$1001,$B$2:$B$1001,B656,$C$2:$C$1001,C656,$D$2:$D$1001,D656),0))</x:f>
      </x:c>
    </x:row>
    <x:row r="657" ht="24" customHeight="1">
      <x:c r="A657" s="34"/>
      <x:c r="B657" s="34"/>
      <x:c r="C657" s="34"/>
      <x:c r="D657" s="34"/>
      <x:c r="E657" s="35"/>
      <x:c r="F657" s="35"/>
      <x:c r="G657" s="35"/>
      <x:c r="H657" s="35" t="str">
        <x:f>IF(B657="","",IF(COUNTIFS($B$2:B657,B657,$C$2:C657,C657,$D$2:D657,D657)=1,E657-SUMIFS($G$2:$G$1001,$B$2:$B$1001,B657,$C$2:$C$1001,C657,$D$2:$D$1001,D657),0))</x:f>
      </x:c>
    </x:row>
    <x:row r="658" ht="24" customHeight="1">
      <x:c r="A658" s="34"/>
      <x:c r="B658" s="34"/>
      <x:c r="C658" s="34"/>
      <x:c r="D658" s="34"/>
      <x:c r="E658" s="35"/>
      <x:c r="F658" s="35"/>
      <x:c r="G658" s="35"/>
      <x:c r="H658" s="35" t="str">
        <x:f>IF(B658="","",IF(COUNTIFS($B$2:B658,B658,$C$2:C658,C658,$D$2:D658,D658)=1,E658-SUMIFS($G$2:$G$1001,$B$2:$B$1001,B658,$C$2:$C$1001,C658,$D$2:$D$1001,D658),0))</x:f>
      </x:c>
    </x:row>
    <x:row r="659" ht="24" customHeight="1">
      <x:c r="A659" s="34"/>
      <x:c r="B659" s="34"/>
      <x:c r="C659" s="34"/>
      <x:c r="D659" s="34"/>
      <x:c r="E659" s="35"/>
      <x:c r="F659" s="35"/>
      <x:c r="G659" s="35"/>
      <x:c r="H659" s="35" t="str">
        <x:f>IF(B659="","",IF(COUNTIFS($B$2:B659,B659,$C$2:C659,C659,$D$2:D659,D659)=1,E659-SUMIFS($G$2:$G$1001,$B$2:$B$1001,B659,$C$2:$C$1001,C659,$D$2:$D$1001,D659),0))</x:f>
      </x:c>
    </x:row>
    <x:row r="660" ht="24" customHeight="1">
      <x:c r="A660" s="34"/>
      <x:c r="B660" s="34"/>
      <x:c r="C660" s="34"/>
      <x:c r="D660" s="34"/>
      <x:c r="E660" s="35"/>
      <x:c r="F660" s="35"/>
      <x:c r="G660" s="35"/>
      <x:c r="H660" s="35" t="str">
        <x:f>IF(B660="","",IF(COUNTIFS($B$2:B660,B660,$C$2:C660,C660,$D$2:D660,D660)=1,E660-SUMIFS($G$2:$G$1001,$B$2:$B$1001,B660,$C$2:$C$1001,C660,$D$2:$D$1001,D660),0))</x:f>
      </x:c>
    </x:row>
    <x:row r="661" ht="24" customHeight="1">
      <x:c r="A661" s="34"/>
      <x:c r="B661" s="34"/>
      <x:c r="C661" s="34"/>
      <x:c r="D661" s="34"/>
      <x:c r="E661" s="35"/>
      <x:c r="F661" s="35"/>
      <x:c r="G661" s="35"/>
      <x:c r="H661" s="35" t="str">
        <x:f>IF(B661="","",IF(COUNTIFS($B$2:B661,B661,$C$2:C661,C661,$D$2:D661,D661)=1,E661-SUMIFS($G$2:$G$1001,$B$2:$B$1001,B661,$C$2:$C$1001,C661,$D$2:$D$1001,D661),0))</x:f>
      </x:c>
    </x:row>
    <x:row r="662" ht="24" customHeight="1">
      <x:c r="A662" s="34"/>
      <x:c r="B662" s="34"/>
      <x:c r="C662" s="34"/>
      <x:c r="D662" s="34"/>
      <x:c r="E662" s="35"/>
      <x:c r="F662" s="35"/>
      <x:c r="G662" s="35"/>
      <x:c r="H662" s="35" t="str">
        <x:f>IF(B662="","",IF(COUNTIFS($B$2:B662,B662,$C$2:C662,C662,$D$2:D662,D662)=1,E662-SUMIFS($G$2:$G$1001,$B$2:$B$1001,B662,$C$2:$C$1001,C662,$D$2:$D$1001,D662),0))</x:f>
      </x:c>
    </x:row>
    <x:row r="663" ht="24" customHeight="1">
      <x:c r="A663" s="34"/>
      <x:c r="B663" s="34"/>
      <x:c r="C663" s="34"/>
      <x:c r="D663" s="34"/>
      <x:c r="E663" s="35"/>
      <x:c r="F663" s="35"/>
      <x:c r="G663" s="35"/>
      <x:c r="H663" s="35" t="str">
        <x:f>IF(B663="","",IF(COUNTIFS($B$2:B663,B663,$C$2:C663,C663,$D$2:D663,D663)=1,E663-SUMIFS($G$2:$G$1001,$B$2:$B$1001,B663,$C$2:$C$1001,C663,$D$2:$D$1001,D663),0))</x:f>
      </x:c>
    </x:row>
    <x:row r="664" ht="24" customHeight="1">
      <x:c r="A664" s="34"/>
      <x:c r="B664" s="34"/>
      <x:c r="C664" s="34"/>
      <x:c r="D664" s="34"/>
      <x:c r="E664" s="35"/>
      <x:c r="F664" s="35"/>
      <x:c r="G664" s="35"/>
      <x:c r="H664" s="35" t="str">
        <x:f>IF(B664="","",IF(COUNTIFS($B$2:B664,B664,$C$2:C664,C664,$D$2:D664,D664)=1,E664-SUMIFS($G$2:$G$1001,$B$2:$B$1001,B664,$C$2:$C$1001,C664,$D$2:$D$1001,D664),0))</x:f>
      </x:c>
    </x:row>
    <x:row r="665" ht="24" customHeight="1">
      <x:c r="A665" s="34"/>
      <x:c r="B665" s="34"/>
      <x:c r="C665" s="34"/>
      <x:c r="D665" s="34"/>
      <x:c r="E665" s="35"/>
      <x:c r="F665" s="35"/>
      <x:c r="G665" s="35"/>
      <x:c r="H665" s="35" t="str">
        <x:f>IF(B665="","",IF(COUNTIFS($B$2:B665,B665,$C$2:C665,C665,$D$2:D665,D665)=1,E665-SUMIFS($G$2:$G$1001,$B$2:$B$1001,B665,$C$2:$C$1001,C665,$D$2:$D$1001,D665),0))</x:f>
      </x:c>
    </x:row>
    <x:row r="666" ht="24" customHeight="1">
      <x:c r="A666" s="34"/>
      <x:c r="B666" s="34"/>
      <x:c r="C666" s="34"/>
      <x:c r="D666" s="34"/>
      <x:c r="E666" s="35"/>
      <x:c r="F666" s="35"/>
      <x:c r="G666" s="35"/>
      <x:c r="H666" s="35" t="str">
        <x:f>IF(B666="","",IF(COUNTIFS($B$2:B666,B666,$C$2:C666,C666,$D$2:D666,D666)=1,E666-SUMIFS($G$2:$G$1001,$B$2:$B$1001,B666,$C$2:$C$1001,C666,$D$2:$D$1001,D666),0))</x:f>
      </x:c>
    </x:row>
    <x:row r="667" ht="24" customHeight="1">
      <x:c r="A667" s="34"/>
      <x:c r="B667" s="34"/>
      <x:c r="C667" s="34"/>
      <x:c r="D667" s="34"/>
      <x:c r="E667" s="35"/>
      <x:c r="F667" s="35"/>
      <x:c r="G667" s="35"/>
      <x:c r="H667" s="35" t="str">
        <x:f>IF(B667="","",IF(COUNTIFS($B$2:B667,B667,$C$2:C667,C667,$D$2:D667,D667)=1,E667-SUMIFS($G$2:$G$1001,$B$2:$B$1001,B667,$C$2:$C$1001,C667,$D$2:$D$1001,D667),0))</x:f>
      </x:c>
    </x:row>
    <x:row r="668" ht="24" customHeight="1">
      <x:c r="A668" s="34"/>
      <x:c r="B668" s="34"/>
      <x:c r="C668" s="34"/>
      <x:c r="D668" s="34"/>
      <x:c r="E668" s="35"/>
      <x:c r="F668" s="35"/>
      <x:c r="G668" s="35"/>
      <x:c r="H668" s="35" t="str">
        <x:f>IF(B668="","",IF(COUNTIFS($B$2:B668,B668,$C$2:C668,C668,$D$2:D668,D668)=1,E668-SUMIFS($G$2:$G$1001,$B$2:$B$1001,B668,$C$2:$C$1001,C668,$D$2:$D$1001,D668),0))</x:f>
      </x:c>
    </x:row>
    <x:row r="669" ht="24" customHeight="1">
      <x:c r="A669" s="34"/>
      <x:c r="B669" s="34"/>
      <x:c r="C669" s="34"/>
      <x:c r="D669" s="34"/>
      <x:c r="E669" s="35"/>
      <x:c r="F669" s="35"/>
      <x:c r="G669" s="35"/>
      <x:c r="H669" s="35" t="str">
        <x:f>IF(B669="","",IF(COUNTIFS($B$2:B669,B669,$C$2:C669,C669,$D$2:D669,D669)=1,E669-SUMIFS($G$2:$G$1001,$B$2:$B$1001,B669,$C$2:$C$1001,C669,$D$2:$D$1001,D669),0))</x:f>
      </x:c>
    </x:row>
    <x:row r="670" ht="24" customHeight="1">
      <x:c r="A670" s="34"/>
      <x:c r="B670" s="34"/>
      <x:c r="C670" s="34"/>
      <x:c r="D670" s="34"/>
      <x:c r="E670" s="35"/>
      <x:c r="F670" s="35"/>
      <x:c r="G670" s="35"/>
      <x:c r="H670" s="35" t="str">
        <x:f>IF(B670="","",IF(COUNTIFS($B$2:B670,B670,$C$2:C670,C670,$D$2:D670,D670)=1,E670-SUMIFS($G$2:$G$1001,$B$2:$B$1001,B670,$C$2:$C$1001,C670,$D$2:$D$1001,D670),0))</x:f>
      </x:c>
    </x:row>
    <x:row r="671" ht="24" customHeight="1">
      <x:c r="A671" s="34"/>
      <x:c r="B671" s="34"/>
      <x:c r="C671" s="34"/>
      <x:c r="D671" s="34"/>
      <x:c r="E671" s="35"/>
      <x:c r="F671" s="35"/>
      <x:c r="G671" s="35"/>
      <x:c r="H671" s="35" t="str">
        <x:f>IF(B671="","",IF(COUNTIFS($B$2:B671,B671,$C$2:C671,C671,$D$2:D671,D671)=1,E671-SUMIFS($G$2:$G$1001,$B$2:$B$1001,B671,$C$2:$C$1001,C671,$D$2:$D$1001,D671),0))</x:f>
      </x:c>
    </x:row>
    <x:row r="672" ht="24" customHeight="1">
      <x:c r="A672" s="34"/>
      <x:c r="B672" s="34"/>
      <x:c r="C672" s="34"/>
      <x:c r="D672" s="34"/>
      <x:c r="E672" s="35"/>
      <x:c r="F672" s="35"/>
      <x:c r="G672" s="35"/>
      <x:c r="H672" s="35" t="str">
        <x:f>IF(B672="","",IF(COUNTIFS($B$2:B672,B672,$C$2:C672,C672,$D$2:D672,D672)=1,E672-SUMIFS($G$2:$G$1001,$B$2:$B$1001,B672,$C$2:$C$1001,C672,$D$2:$D$1001,D672),0))</x:f>
      </x:c>
    </x:row>
    <x:row r="673" ht="24" customHeight="1">
      <x:c r="A673" s="34"/>
      <x:c r="B673" s="34"/>
      <x:c r="C673" s="34"/>
      <x:c r="D673" s="34"/>
      <x:c r="E673" s="35"/>
      <x:c r="F673" s="35"/>
      <x:c r="G673" s="35"/>
      <x:c r="H673" s="35" t="str">
        <x:f>IF(B673="","",IF(COUNTIFS($B$2:B673,B673,$C$2:C673,C673,$D$2:D673,D673)=1,E673-SUMIFS($G$2:$G$1001,$B$2:$B$1001,B673,$C$2:$C$1001,C673,$D$2:$D$1001,D673),0))</x:f>
      </x:c>
    </x:row>
    <x:row r="674" ht="24" customHeight="1">
      <x:c r="A674" s="34"/>
      <x:c r="B674" s="34"/>
      <x:c r="C674" s="34"/>
      <x:c r="D674" s="34"/>
      <x:c r="E674" s="35"/>
      <x:c r="F674" s="35"/>
      <x:c r="G674" s="35"/>
      <x:c r="H674" s="35" t="str">
        <x:f>IF(B674="","",IF(COUNTIFS($B$2:B674,B674,$C$2:C674,C674,$D$2:D674,D674)=1,E674-SUMIFS($G$2:$G$1001,$B$2:$B$1001,B674,$C$2:$C$1001,C674,$D$2:$D$1001,D674),0))</x:f>
      </x:c>
    </x:row>
    <x:row r="675" ht="24" customHeight="1">
      <x:c r="A675" s="34"/>
      <x:c r="B675" s="34"/>
      <x:c r="C675" s="34"/>
      <x:c r="D675" s="34"/>
      <x:c r="E675" s="35"/>
      <x:c r="F675" s="35"/>
      <x:c r="G675" s="35"/>
      <x:c r="H675" s="35" t="str">
        <x:f>IF(B675="","",IF(COUNTIFS($B$2:B675,B675,$C$2:C675,C675,$D$2:D675,D675)=1,E675-SUMIFS($G$2:$G$1001,$B$2:$B$1001,B675,$C$2:$C$1001,C675,$D$2:$D$1001,D675),0))</x:f>
      </x:c>
    </x:row>
    <x:row r="676" ht="24" customHeight="1">
      <x:c r="A676" s="34"/>
      <x:c r="B676" s="34"/>
      <x:c r="C676" s="34"/>
      <x:c r="D676" s="34"/>
      <x:c r="E676" s="35"/>
      <x:c r="F676" s="35"/>
      <x:c r="G676" s="35"/>
      <x:c r="H676" s="35" t="str">
        <x:f>IF(B676="","",IF(COUNTIFS($B$2:B676,B676,$C$2:C676,C676,$D$2:D676,D676)=1,E676-SUMIFS($G$2:$G$1001,$B$2:$B$1001,B676,$C$2:$C$1001,C676,$D$2:$D$1001,D676),0))</x:f>
      </x:c>
    </x:row>
    <x:row r="677" ht="24" customHeight="1">
      <x:c r="A677" s="34"/>
      <x:c r="B677" s="34"/>
      <x:c r="C677" s="34"/>
      <x:c r="D677" s="34"/>
      <x:c r="E677" s="35"/>
      <x:c r="F677" s="35"/>
      <x:c r="G677" s="35"/>
      <x:c r="H677" s="35" t="str">
        <x:f>IF(B677="","",IF(COUNTIFS($B$2:B677,B677,$C$2:C677,C677,$D$2:D677,D677)=1,E677-SUMIFS($G$2:$G$1001,$B$2:$B$1001,B677,$C$2:$C$1001,C677,$D$2:$D$1001,D677),0))</x:f>
      </x:c>
    </x:row>
    <x:row r="678" ht="24" customHeight="1">
      <x:c r="A678" s="34"/>
      <x:c r="B678" s="34"/>
      <x:c r="C678" s="34"/>
      <x:c r="D678" s="34"/>
      <x:c r="E678" s="35"/>
      <x:c r="F678" s="35"/>
      <x:c r="G678" s="35"/>
      <x:c r="H678" s="35" t="str">
        <x:f>IF(B678="","",IF(COUNTIFS($B$2:B678,B678,$C$2:C678,C678,$D$2:D678,D678)=1,E678-SUMIFS($G$2:$G$1001,$B$2:$B$1001,B678,$C$2:$C$1001,C678,$D$2:$D$1001,D678),0))</x:f>
      </x:c>
    </x:row>
    <x:row r="679" ht="24" customHeight="1">
      <x:c r="A679" s="34"/>
      <x:c r="B679" s="34"/>
      <x:c r="C679" s="34"/>
      <x:c r="D679" s="34"/>
      <x:c r="E679" s="35"/>
      <x:c r="F679" s="35"/>
      <x:c r="G679" s="35"/>
      <x:c r="H679" s="35" t="str">
        <x:f>IF(B679="","",IF(COUNTIFS($B$2:B679,B679,$C$2:C679,C679,$D$2:D679,D679)=1,E679-SUMIFS($G$2:$G$1001,$B$2:$B$1001,B679,$C$2:$C$1001,C679,$D$2:$D$1001,D679),0))</x:f>
      </x:c>
    </x:row>
    <x:row r="680" ht="24" customHeight="1">
      <x:c r="A680" s="34"/>
      <x:c r="B680" s="34"/>
      <x:c r="C680" s="34"/>
      <x:c r="D680" s="34"/>
      <x:c r="E680" s="35"/>
      <x:c r="F680" s="35"/>
      <x:c r="G680" s="35"/>
      <x:c r="H680" s="35" t="str">
        <x:f>IF(B680="","",IF(COUNTIFS($B$2:B680,B680,$C$2:C680,C680,$D$2:D680,D680)=1,E680-SUMIFS($G$2:$G$1001,$B$2:$B$1001,B680,$C$2:$C$1001,C680,$D$2:$D$1001,D680),0))</x:f>
      </x:c>
    </x:row>
    <x:row r="681" ht="24" customHeight="1">
      <x:c r="A681" s="34"/>
      <x:c r="B681" s="34"/>
      <x:c r="C681" s="34"/>
      <x:c r="D681" s="34"/>
      <x:c r="E681" s="35"/>
      <x:c r="F681" s="35"/>
      <x:c r="G681" s="35"/>
      <x:c r="H681" s="35" t="str">
        <x:f>IF(B681="","",IF(COUNTIFS($B$2:B681,B681,$C$2:C681,C681,$D$2:D681,D681)=1,E681-SUMIFS($G$2:$G$1001,$B$2:$B$1001,B681,$C$2:$C$1001,C681,$D$2:$D$1001,D681),0))</x:f>
      </x:c>
    </x:row>
    <x:row r="682" ht="24" customHeight="1">
      <x:c r="A682" s="34"/>
      <x:c r="B682" s="34"/>
      <x:c r="C682" s="34"/>
      <x:c r="D682" s="34"/>
      <x:c r="E682" s="35"/>
      <x:c r="F682" s="35"/>
      <x:c r="G682" s="35"/>
      <x:c r="H682" s="35" t="str">
        <x:f>IF(B682="","",IF(COUNTIFS($B$2:B682,B682,$C$2:C682,C682,$D$2:D682,D682)=1,E682-SUMIFS($G$2:$G$1001,$B$2:$B$1001,B682,$C$2:$C$1001,C682,$D$2:$D$1001,D682),0))</x:f>
      </x:c>
    </x:row>
    <x:row r="683" ht="24" customHeight="1">
      <x:c r="A683" s="34"/>
      <x:c r="B683" s="34"/>
      <x:c r="C683" s="34"/>
      <x:c r="D683" s="34"/>
      <x:c r="E683" s="35"/>
      <x:c r="F683" s="35"/>
      <x:c r="G683" s="35"/>
      <x:c r="H683" s="35" t="str">
        <x:f>IF(B683="","",IF(COUNTIFS($B$2:B683,B683,$C$2:C683,C683,$D$2:D683,D683)=1,E683-SUMIFS($G$2:$G$1001,$B$2:$B$1001,B683,$C$2:$C$1001,C683,$D$2:$D$1001,D683),0))</x:f>
      </x:c>
    </x:row>
    <x:row r="684" ht="24" customHeight="1">
      <x:c r="A684" s="34"/>
      <x:c r="B684" s="34"/>
      <x:c r="C684" s="34"/>
      <x:c r="D684" s="34"/>
      <x:c r="E684" s="35"/>
      <x:c r="F684" s="35"/>
      <x:c r="G684" s="35"/>
      <x:c r="H684" s="35" t="str">
        <x:f>IF(B684="","",IF(COUNTIFS($B$2:B684,B684,$C$2:C684,C684,$D$2:D684,D684)=1,E684-SUMIFS($G$2:$G$1001,$B$2:$B$1001,B684,$C$2:$C$1001,C684,$D$2:$D$1001,D684),0))</x:f>
      </x:c>
    </x:row>
    <x:row r="685" ht="24" customHeight="1">
      <x:c r="A685" s="34"/>
      <x:c r="B685" s="34"/>
      <x:c r="C685" s="34"/>
      <x:c r="D685" s="34"/>
      <x:c r="E685" s="35"/>
      <x:c r="F685" s="35"/>
      <x:c r="G685" s="35"/>
      <x:c r="H685" s="35" t="str">
        <x:f>IF(B685="","",IF(COUNTIFS($B$2:B685,B685,$C$2:C685,C685,$D$2:D685,D685)=1,E685-SUMIFS($G$2:$G$1001,$B$2:$B$1001,B685,$C$2:$C$1001,C685,$D$2:$D$1001,D685),0))</x:f>
      </x:c>
    </x:row>
    <x:row r="686" ht="24" customHeight="1">
      <x:c r="A686" s="34"/>
      <x:c r="B686" s="34"/>
      <x:c r="C686" s="34"/>
      <x:c r="D686" s="34"/>
      <x:c r="E686" s="35"/>
      <x:c r="F686" s="35"/>
      <x:c r="G686" s="35"/>
      <x:c r="H686" s="35" t="str">
        <x:f>IF(B686="","",IF(COUNTIFS($B$2:B686,B686,$C$2:C686,C686,$D$2:D686,D686)=1,E686-SUMIFS($G$2:$G$1001,$B$2:$B$1001,B686,$C$2:$C$1001,C686,$D$2:$D$1001,D686),0))</x:f>
      </x:c>
    </x:row>
    <x:row r="687" ht="24" customHeight="1">
      <x:c r="A687" s="34"/>
      <x:c r="B687" s="34"/>
      <x:c r="C687" s="34"/>
      <x:c r="D687" s="34"/>
      <x:c r="E687" s="35"/>
      <x:c r="F687" s="35"/>
      <x:c r="G687" s="35"/>
      <x:c r="H687" s="35" t="str">
        <x:f>IF(B687="","",IF(COUNTIFS($B$2:B687,B687,$C$2:C687,C687,$D$2:D687,D687)=1,E687-SUMIFS($G$2:$G$1001,$B$2:$B$1001,B687,$C$2:$C$1001,C687,$D$2:$D$1001,D687),0))</x:f>
      </x:c>
    </x:row>
    <x:row r="688" ht="24" customHeight="1">
      <x:c r="A688" s="34"/>
      <x:c r="B688" s="34"/>
      <x:c r="C688" s="34"/>
      <x:c r="D688" s="34"/>
      <x:c r="E688" s="35"/>
      <x:c r="F688" s="35"/>
      <x:c r="G688" s="35"/>
      <x:c r="H688" s="35" t="str">
        <x:f>IF(B688="","",IF(COUNTIFS($B$2:B688,B688,$C$2:C688,C688,$D$2:D688,D688)=1,E688-SUMIFS($G$2:$G$1001,$B$2:$B$1001,B688,$C$2:$C$1001,C688,$D$2:$D$1001,D688),0))</x:f>
      </x:c>
    </x:row>
    <x:row r="689" ht="24" customHeight="1">
      <x:c r="A689" s="34"/>
      <x:c r="B689" s="34"/>
      <x:c r="C689" s="34"/>
      <x:c r="D689" s="34"/>
      <x:c r="E689" s="35"/>
      <x:c r="F689" s="35"/>
      <x:c r="G689" s="35"/>
      <x:c r="H689" s="35" t="str">
        <x:f>IF(B689="","",IF(COUNTIFS($B$2:B689,B689,$C$2:C689,C689,$D$2:D689,D689)=1,E689-SUMIFS($G$2:$G$1001,$B$2:$B$1001,B689,$C$2:$C$1001,C689,$D$2:$D$1001,D689),0))</x:f>
      </x:c>
    </x:row>
    <x:row r="690" ht="24" customHeight="1">
      <x:c r="A690" s="34"/>
      <x:c r="B690" s="34"/>
      <x:c r="C690" s="34"/>
      <x:c r="D690" s="34"/>
      <x:c r="E690" s="35"/>
      <x:c r="F690" s="35"/>
      <x:c r="G690" s="35"/>
      <x:c r="H690" s="35" t="str">
        <x:f>IF(B690="","",IF(COUNTIFS($B$2:B690,B690,$C$2:C690,C690,$D$2:D690,D690)=1,E690-SUMIFS($G$2:$G$1001,$B$2:$B$1001,B690,$C$2:$C$1001,C690,$D$2:$D$1001,D690),0))</x:f>
      </x:c>
    </x:row>
    <x:row r="691" ht="24" customHeight="1">
      <x:c r="A691" s="34"/>
      <x:c r="B691" s="34"/>
      <x:c r="C691" s="34"/>
      <x:c r="D691" s="34"/>
      <x:c r="E691" s="35"/>
      <x:c r="F691" s="35"/>
      <x:c r="G691" s="35"/>
      <x:c r="H691" s="35" t="str">
        <x:f>IF(B691="","",IF(COUNTIFS($B$2:B691,B691,$C$2:C691,C691,$D$2:D691,D691)=1,E691-SUMIFS($G$2:$G$1001,$B$2:$B$1001,B691,$C$2:$C$1001,C691,$D$2:$D$1001,D691),0))</x:f>
      </x:c>
    </x:row>
    <x:row r="692" ht="24" customHeight="1">
      <x:c r="A692" s="34"/>
      <x:c r="B692" s="34"/>
      <x:c r="C692" s="34"/>
      <x:c r="D692" s="34"/>
      <x:c r="E692" s="35"/>
      <x:c r="F692" s="35"/>
      <x:c r="G692" s="35"/>
      <x:c r="H692" s="35" t="str">
        <x:f>IF(B692="","",IF(COUNTIFS($B$2:B692,B692,$C$2:C692,C692,$D$2:D692,D692)=1,E692-SUMIFS($G$2:$G$1001,$B$2:$B$1001,B692,$C$2:$C$1001,C692,$D$2:$D$1001,D692),0))</x:f>
      </x:c>
    </x:row>
    <x:row r="693" ht="24" customHeight="1">
      <x:c r="A693" s="34"/>
      <x:c r="B693" s="34"/>
      <x:c r="C693" s="34"/>
      <x:c r="D693" s="34"/>
      <x:c r="E693" s="35"/>
      <x:c r="F693" s="35"/>
      <x:c r="G693" s="35"/>
      <x:c r="H693" s="35" t="str">
        <x:f>IF(B693="","",IF(COUNTIFS($B$2:B693,B693,$C$2:C693,C693,$D$2:D693,D693)=1,E693-SUMIFS($G$2:$G$1001,$B$2:$B$1001,B693,$C$2:$C$1001,C693,$D$2:$D$1001,D693),0))</x:f>
      </x:c>
    </x:row>
    <x:row r="694" ht="24" customHeight="1">
      <x:c r="A694" s="34"/>
      <x:c r="B694" s="34"/>
      <x:c r="C694" s="34"/>
      <x:c r="D694" s="34"/>
      <x:c r="E694" s="35"/>
      <x:c r="F694" s="35"/>
      <x:c r="G694" s="35"/>
      <x:c r="H694" s="35" t="str">
        <x:f>IF(B694="","",IF(COUNTIFS($B$2:B694,B694,$C$2:C694,C694,$D$2:D694,D694)=1,E694-SUMIFS($G$2:$G$1001,$B$2:$B$1001,B694,$C$2:$C$1001,C694,$D$2:$D$1001,D694),0))</x:f>
      </x:c>
    </x:row>
    <x:row r="695" ht="24" customHeight="1">
      <x:c r="A695" s="34"/>
      <x:c r="B695" s="34"/>
      <x:c r="C695" s="34"/>
      <x:c r="D695" s="34"/>
      <x:c r="E695" s="35"/>
      <x:c r="F695" s="35"/>
      <x:c r="G695" s="35"/>
      <x:c r="H695" s="35" t="str">
        <x:f>IF(B695="","",IF(COUNTIFS($B$2:B695,B695,$C$2:C695,C695,$D$2:D695,D695)=1,E695-SUMIFS($G$2:$G$1001,$B$2:$B$1001,B695,$C$2:$C$1001,C695,$D$2:$D$1001,D695),0))</x:f>
      </x:c>
    </x:row>
    <x:row r="696" ht="24" customHeight="1">
      <x:c r="A696" s="34"/>
      <x:c r="B696" s="34"/>
      <x:c r="C696" s="34"/>
      <x:c r="D696" s="34"/>
      <x:c r="E696" s="35"/>
      <x:c r="F696" s="35"/>
      <x:c r="G696" s="35"/>
      <x:c r="H696" s="35" t="str">
        <x:f>IF(B696="","",IF(COUNTIFS($B$2:B696,B696,$C$2:C696,C696,$D$2:D696,D696)=1,E696-SUMIFS($G$2:$G$1001,$B$2:$B$1001,B696,$C$2:$C$1001,C696,$D$2:$D$1001,D696),0))</x:f>
      </x:c>
    </x:row>
    <x:row r="697" ht="24" customHeight="1">
      <x:c r="A697" s="34"/>
      <x:c r="B697" s="34"/>
      <x:c r="C697" s="34"/>
      <x:c r="D697" s="34"/>
      <x:c r="E697" s="35"/>
      <x:c r="F697" s="35"/>
      <x:c r="G697" s="35"/>
      <x:c r="H697" s="35" t="str">
        <x:f>IF(B697="","",IF(COUNTIFS($B$2:B697,B697,$C$2:C697,C697,$D$2:D697,D697)=1,E697-SUMIFS($G$2:$G$1001,$B$2:$B$1001,B697,$C$2:$C$1001,C697,$D$2:$D$1001,D697),0))</x:f>
      </x:c>
    </x:row>
    <x:row r="698" ht="24" customHeight="1">
      <x:c r="A698" s="34"/>
      <x:c r="B698" s="34"/>
      <x:c r="C698" s="34"/>
      <x:c r="D698" s="34"/>
      <x:c r="E698" s="35"/>
      <x:c r="F698" s="35"/>
      <x:c r="G698" s="35"/>
      <x:c r="H698" s="35" t="str">
        <x:f>IF(B698="","",IF(COUNTIFS($B$2:B698,B698,$C$2:C698,C698,$D$2:D698,D698)=1,E698-SUMIFS($G$2:$G$1001,$B$2:$B$1001,B698,$C$2:$C$1001,C698,$D$2:$D$1001,D698),0))</x:f>
      </x:c>
    </x:row>
    <x:row r="699" ht="24" customHeight="1">
      <x:c r="A699" s="34"/>
      <x:c r="B699" s="34"/>
      <x:c r="C699" s="34"/>
      <x:c r="D699" s="34"/>
      <x:c r="E699" s="35"/>
      <x:c r="F699" s="35"/>
      <x:c r="G699" s="35"/>
      <x:c r="H699" s="35" t="str">
        <x:f>IF(B699="","",IF(COUNTIFS($B$2:B699,B699,$C$2:C699,C699,$D$2:D699,D699)=1,E699-SUMIFS($G$2:$G$1001,$B$2:$B$1001,B699,$C$2:$C$1001,C699,$D$2:$D$1001,D699),0))</x:f>
      </x:c>
    </x:row>
    <x:row r="700" ht="24" customHeight="1">
      <x:c r="A700" s="34"/>
      <x:c r="B700" s="34"/>
      <x:c r="C700" s="34"/>
      <x:c r="D700" s="34"/>
      <x:c r="E700" s="35"/>
      <x:c r="F700" s="35"/>
      <x:c r="G700" s="35"/>
      <x:c r="H700" s="35" t="str">
        <x:f>IF(B700="","",IF(COUNTIFS($B$2:B700,B700,$C$2:C700,C700,$D$2:D700,D700)=1,E700-SUMIFS($G$2:$G$1001,$B$2:$B$1001,B700,$C$2:$C$1001,C700,$D$2:$D$1001,D700),0))</x:f>
      </x:c>
    </x:row>
    <x:row r="701" ht="24" customHeight="1">
      <x:c r="A701" s="34"/>
      <x:c r="B701" s="34"/>
      <x:c r="C701" s="34"/>
      <x:c r="D701" s="34"/>
      <x:c r="E701" s="35"/>
      <x:c r="F701" s="35"/>
      <x:c r="G701" s="35"/>
      <x:c r="H701" s="35" t="str">
        <x:f>IF(B701="","",IF(COUNTIFS($B$2:B701,B701,$C$2:C701,C701,$D$2:D701,D701)=1,E701-SUMIFS($G$2:$G$1001,$B$2:$B$1001,B701,$C$2:$C$1001,C701,$D$2:$D$1001,D701),0))</x:f>
      </x:c>
    </x:row>
    <x:row r="702" ht="24" customHeight="1">
      <x:c r="A702" s="34"/>
      <x:c r="B702" s="34"/>
      <x:c r="C702" s="34"/>
      <x:c r="D702" s="34"/>
      <x:c r="E702" s="35"/>
      <x:c r="F702" s="35"/>
      <x:c r="G702" s="35"/>
      <x:c r="H702" s="35" t="str">
        <x:f>IF(B702="","",IF(COUNTIFS($B$2:B702,B702,$C$2:C702,C702,$D$2:D702,D702)=1,E702-SUMIFS($G$2:$G$1001,$B$2:$B$1001,B702,$C$2:$C$1001,C702,$D$2:$D$1001,D702),0))</x:f>
      </x:c>
    </x:row>
    <x:row r="703" ht="24" customHeight="1">
      <x:c r="A703" s="34"/>
      <x:c r="B703" s="34"/>
      <x:c r="C703" s="34"/>
      <x:c r="D703" s="34"/>
      <x:c r="E703" s="35"/>
      <x:c r="F703" s="35"/>
      <x:c r="G703" s="35"/>
      <x:c r="H703" s="35" t="str">
        <x:f>IF(B703="","",IF(COUNTIFS($B$2:B703,B703,$C$2:C703,C703,$D$2:D703,D703)=1,E703-SUMIFS($G$2:$G$1001,$B$2:$B$1001,B703,$C$2:$C$1001,C703,$D$2:$D$1001,D703),0))</x:f>
      </x:c>
    </x:row>
    <x:row r="704" ht="24" customHeight="1">
      <x:c r="A704" s="34"/>
      <x:c r="B704" s="34"/>
      <x:c r="C704" s="34"/>
      <x:c r="D704" s="34"/>
      <x:c r="E704" s="35"/>
      <x:c r="F704" s="35"/>
      <x:c r="G704" s="35"/>
      <x:c r="H704" s="35" t="str">
        <x:f>IF(B704="","",IF(COUNTIFS($B$2:B704,B704,$C$2:C704,C704,$D$2:D704,D704)=1,E704-SUMIFS($G$2:$G$1001,$B$2:$B$1001,B704,$C$2:$C$1001,C704,$D$2:$D$1001,D704),0))</x:f>
      </x:c>
    </x:row>
    <x:row r="705" ht="24" customHeight="1">
      <x:c r="A705" s="34"/>
      <x:c r="B705" s="34"/>
      <x:c r="C705" s="34"/>
      <x:c r="D705" s="34"/>
      <x:c r="E705" s="35"/>
      <x:c r="F705" s="35"/>
      <x:c r="G705" s="35"/>
      <x:c r="H705" s="35" t="str">
        <x:f>IF(B705="","",IF(COUNTIFS($B$2:B705,B705,$C$2:C705,C705,$D$2:D705,D705)=1,E705-SUMIFS($G$2:$G$1001,$B$2:$B$1001,B705,$C$2:$C$1001,C705,$D$2:$D$1001,D705),0))</x:f>
      </x:c>
    </x:row>
    <x:row r="706" ht="24" customHeight="1">
      <x:c r="A706" s="34"/>
      <x:c r="B706" s="34"/>
      <x:c r="C706" s="34"/>
      <x:c r="D706" s="34"/>
      <x:c r="E706" s="35"/>
      <x:c r="F706" s="35"/>
      <x:c r="G706" s="35"/>
      <x:c r="H706" s="35" t="str">
        <x:f>IF(B706="","",IF(COUNTIFS($B$2:B706,B706,$C$2:C706,C706,$D$2:D706,D706)=1,E706-SUMIFS($G$2:$G$1001,$B$2:$B$1001,B706,$C$2:$C$1001,C706,$D$2:$D$1001,D706),0))</x:f>
      </x:c>
    </x:row>
    <x:row r="707" ht="24" customHeight="1">
      <x:c r="A707" s="34"/>
      <x:c r="B707" s="34"/>
      <x:c r="C707" s="34"/>
      <x:c r="D707" s="34"/>
      <x:c r="E707" s="35"/>
      <x:c r="F707" s="35"/>
      <x:c r="G707" s="35"/>
      <x:c r="H707" s="35" t="str">
        <x:f>IF(B707="","",IF(COUNTIFS($B$2:B707,B707,$C$2:C707,C707,$D$2:D707,D707)=1,E707-SUMIFS($G$2:$G$1001,$B$2:$B$1001,B707,$C$2:$C$1001,C707,$D$2:$D$1001,D707),0))</x:f>
      </x:c>
    </x:row>
    <x:row r="708" ht="24" customHeight="1">
      <x:c r="A708" s="34"/>
      <x:c r="B708" s="34"/>
      <x:c r="C708" s="34"/>
      <x:c r="D708" s="34"/>
      <x:c r="E708" s="35"/>
      <x:c r="F708" s="35"/>
      <x:c r="G708" s="35"/>
      <x:c r="H708" s="35" t="str">
        <x:f>IF(B708="","",IF(COUNTIFS($B$2:B708,B708,$C$2:C708,C708,$D$2:D708,D708)=1,E708-SUMIFS($G$2:$G$1001,$B$2:$B$1001,B708,$C$2:$C$1001,C708,$D$2:$D$1001,D708),0))</x:f>
      </x:c>
    </x:row>
    <x:row r="709" ht="24" customHeight="1">
      <x:c r="A709" s="34"/>
      <x:c r="B709" s="34"/>
      <x:c r="C709" s="34"/>
      <x:c r="D709" s="34"/>
      <x:c r="E709" s="35"/>
      <x:c r="F709" s="35"/>
      <x:c r="G709" s="35"/>
      <x:c r="H709" s="35" t="str">
        <x:f>IF(B709="","",IF(COUNTIFS($B$2:B709,B709,$C$2:C709,C709,$D$2:D709,D709)=1,E709-SUMIFS($G$2:$G$1001,$B$2:$B$1001,B709,$C$2:$C$1001,C709,$D$2:$D$1001,D709),0))</x:f>
      </x:c>
    </x:row>
    <x:row r="710" ht="24" customHeight="1">
      <x:c r="A710" s="34"/>
      <x:c r="B710" s="34"/>
      <x:c r="C710" s="34"/>
      <x:c r="D710" s="34"/>
      <x:c r="E710" s="35"/>
      <x:c r="F710" s="35"/>
      <x:c r="G710" s="35"/>
      <x:c r="H710" s="35" t="str">
        <x:f>IF(B710="","",IF(COUNTIFS($B$2:B710,B710,$C$2:C710,C710,$D$2:D710,D710)=1,E710-SUMIFS($G$2:$G$1001,$B$2:$B$1001,B710,$C$2:$C$1001,C710,$D$2:$D$1001,D710),0))</x:f>
      </x:c>
    </x:row>
    <x:row r="711" ht="24" customHeight="1">
      <x:c r="A711" s="34"/>
      <x:c r="B711" s="34"/>
      <x:c r="C711" s="34"/>
      <x:c r="D711" s="34"/>
      <x:c r="E711" s="35"/>
      <x:c r="F711" s="35"/>
      <x:c r="G711" s="35"/>
      <x:c r="H711" s="35" t="str">
        <x:f>IF(B711="","",IF(COUNTIFS($B$2:B711,B711,$C$2:C711,C711,$D$2:D711,D711)=1,E711-SUMIFS($G$2:$G$1001,$B$2:$B$1001,B711,$C$2:$C$1001,C711,$D$2:$D$1001,D711),0))</x:f>
      </x:c>
    </x:row>
    <x:row r="712" ht="24" customHeight="1">
      <x:c r="A712" s="34"/>
      <x:c r="B712" s="34"/>
      <x:c r="C712" s="34"/>
      <x:c r="D712" s="34"/>
      <x:c r="E712" s="35"/>
      <x:c r="F712" s="35"/>
      <x:c r="G712" s="35"/>
      <x:c r="H712" s="35" t="str">
        <x:f>IF(B712="","",IF(COUNTIFS($B$2:B712,B712,$C$2:C712,C712,$D$2:D712,D712)=1,E712-SUMIFS($G$2:$G$1001,$B$2:$B$1001,B712,$C$2:$C$1001,C712,$D$2:$D$1001,D712),0))</x:f>
      </x:c>
    </x:row>
    <x:row r="713" ht="24" customHeight="1">
      <x:c r="A713" s="34"/>
      <x:c r="B713" s="34"/>
      <x:c r="C713" s="34"/>
      <x:c r="D713" s="34"/>
      <x:c r="E713" s="35"/>
      <x:c r="F713" s="35"/>
      <x:c r="G713" s="35"/>
      <x:c r="H713" s="35" t="str">
        <x:f>IF(B713="","",IF(COUNTIFS($B$2:B713,B713,$C$2:C713,C713,$D$2:D713,D713)=1,E713-SUMIFS($G$2:$G$1001,$B$2:$B$1001,B713,$C$2:$C$1001,C713,$D$2:$D$1001,D713),0))</x:f>
      </x:c>
    </x:row>
    <x:row r="714" ht="24" customHeight="1">
      <x:c r="A714" s="34"/>
      <x:c r="B714" s="34"/>
      <x:c r="C714" s="34"/>
      <x:c r="D714" s="34"/>
      <x:c r="E714" s="35"/>
      <x:c r="F714" s="35"/>
      <x:c r="G714" s="35"/>
      <x:c r="H714" s="35" t="str">
        <x:f>IF(B714="","",IF(COUNTIFS($B$2:B714,B714,$C$2:C714,C714,$D$2:D714,D714)=1,E714-SUMIFS($G$2:$G$1001,$B$2:$B$1001,B714,$C$2:$C$1001,C714,$D$2:$D$1001,D714),0))</x:f>
      </x:c>
    </x:row>
    <x:row r="715" ht="24" customHeight="1">
      <x:c r="A715" s="34"/>
      <x:c r="B715" s="34"/>
      <x:c r="C715" s="34"/>
      <x:c r="D715" s="34"/>
      <x:c r="E715" s="35"/>
      <x:c r="F715" s="35"/>
      <x:c r="G715" s="35"/>
      <x:c r="H715" s="35" t="str">
        <x:f>IF(B715="","",IF(COUNTIFS($B$2:B715,B715,$C$2:C715,C715,$D$2:D715,D715)=1,E715-SUMIFS($G$2:$G$1001,$B$2:$B$1001,B715,$C$2:$C$1001,C715,$D$2:$D$1001,D715),0))</x:f>
      </x:c>
    </x:row>
    <x:row r="716" ht="24" customHeight="1">
      <x:c r="A716" s="34"/>
      <x:c r="B716" s="34"/>
      <x:c r="C716" s="34"/>
      <x:c r="D716" s="34"/>
      <x:c r="E716" s="35"/>
      <x:c r="F716" s="35"/>
      <x:c r="G716" s="35"/>
      <x:c r="H716" s="35" t="str">
        <x:f>IF(B716="","",IF(COUNTIFS($B$2:B716,B716,$C$2:C716,C716,$D$2:D716,D716)=1,E716-SUMIFS($G$2:$G$1001,$B$2:$B$1001,B716,$C$2:$C$1001,C716,$D$2:$D$1001,D716),0))</x:f>
      </x:c>
    </x:row>
    <x:row r="717" ht="24" customHeight="1">
      <x:c r="A717" s="34"/>
      <x:c r="B717" s="34"/>
      <x:c r="C717" s="34"/>
      <x:c r="D717" s="34"/>
      <x:c r="E717" s="35"/>
      <x:c r="F717" s="35"/>
      <x:c r="G717" s="35"/>
      <x:c r="H717" s="35" t="str">
        <x:f>IF(B717="","",IF(COUNTIFS($B$2:B717,B717,$C$2:C717,C717,$D$2:D717,D717)=1,E717-SUMIFS($G$2:$G$1001,$B$2:$B$1001,B717,$C$2:$C$1001,C717,$D$2:$D$1001,D717),0))</x:f>
      </x:c>
    </x:row>
    <x:row r="718" ht="24" customHeight="1">
      <x:c r="A718" s="34"/>
      <x:c r="B718" s="34"/>
      <x:c r="C718" s="34"/>
      <x:c r="D718" s="34"/>
      <x:c r="E718" s="35"/>
      <x:c r="F718" s="35"/>
      <x:c r="G718" s="35"/>
      <x:c r="H718" s="35" t="str">
        <x:f>IF(B718="","",IF(COUNTIFS($B$2:B718,B718,$C$2:C718,C718,$D$2:D718,D718)=1,E718-SUMIFS($G$2:$G$1001,$B$2:$B$1001,B718,$C$2:$C$1001,C718,$D$2:$D$1001,D718),0))</x:f>
      </x:c>
    </x:row>
    <x:row r="719" ht="24" customHeight="1">
      <x:c r="A719" s="34"/>
      <x:c r="B719" s="34"/>
      <x:c r="C719" s="34"/>
      <x:c r="D719" s="34"/>
      <x:c r="E719" s="35"/>
      <x:c r="F719" s="35"/>
      <x:c r="G719" s="35"/>
      <x:c r="H719" s="35" t="str">
        <x:f>IF(B719="","",IF(COUNTIFS($B$2:B719,B719,$C$2:C719,C719,$D$2:D719,D719)=1,E719-SUMIFS($G$2:$G$1001,$B$2:$B$1001,B719,$C$2:$C$1001,C719,$D$2:$D$1001,D719),0))</x:f>
      </x:c>
    </x:row>
    <x:row r="720" ht="24" customHeight="1">
      <x:c r="A720" s="34"/>
      <x:c r="B720" s="34"/>
      <x:c r="C720" s="34"/>
      <x:c r="D720" s="34"/>
      <x:c r="E720" s="35"/>
      <x:c r="F720" s="35"/>
      <x:c r="G720" s="35"/>
      <x:c r="H720" s="35" t="str">
        <x:f>IF(B720="","",IF(COUNTIFS($B$2:B720,B720,$C$2:C720,C720,$D$2:D720,D720)=1,E720-SUMIFS($G$2:$G$1001,$B$2:$B$1001,B720,$C$2:$C$1001,C720,$D$2:$D$1001,D720),0))</x:f>
      </x:c>
    </x:row>
    <x:row r="721" ht="24" customHeight="1">
      <x:c r="A721" s="34"/>
      <x:c r="B721" s="34"/>
      <x:c r="C721" s="34"/>
      <x:c r="D721" s="34"/>
      <x:c r="E721" s="35"/>
      <x:c r="F721" s="35"/>
      <x:c r="G721" s="35"/>
      <x:c r="H721" s="35" t="str">
        <x:f>IF(B721="","",IF(COUNTIFS($B$2:B721,B721,$C$2:C721,C721,$D$2:D721,D721)=1,E721-SUMIFS($G$2:$G$1001,$B$2:$B$1001,B721,$C$2:$C$1001,C721,$D$2:$D$1001,D721),0))</x:f>
      </x:c>
    </x:row>
    <x:row r="722" ht="24" customHeight="1">
      <x:c r="A722" s="34"/>
      <x:c r="B722" s="34"/>
      <x:c r="C722" s="34"/>
      <x:c r="D722" s="34"/>
      <x:c r="E722" s="35"/>
      <x:c r="F722" s="35"/>
      <x:c r="G722" s="35"/>
      <x:c r="H722" s="35" t="str">
        <x:f>IF(B722="","",IF(COUNTIFS($B$2:B722,B722,$C$2:C722,C722,$D$2:D722,D722)=1,E722-SUMIFS($G$2:$G$1001,$B$2:$B$1001,B722,$C$2:$C$1001,C722,$D$2:$D$1001,D722),0))</x:f>
      </x:c>
    </x:row>
    <x:row r="723" ht="24" customHeight="1">
      <x:c r="A723" s="34"/>
      <x:c r="B723" s="34"/>
      <x:c r="C723" s="34"/>
      <x:c r="D723" s="34"/>
      <x:c r="E723" s="35"/>
      <x:c r="F723" s="35"/>
      <x:c r="G723" s="35"/>
      <x:c r="H723" s="35" t="str">
        <x:f>IF(B723="","",IF(COUNTIFS($B$2:B723,B723,$C$2:C723,C723,$D$2:D723,D723)=1,E723-SUMIFS($G$2:$G$1001,$B$2:$B$1001,B723,$C$2:$C$1001,C723,$D$2:$D$1001,D723),0))</x:f>
      </x:c>
    </x:row>
    <x:row r="724" ht="24" customHeight="1">
      <x:c r="A724" s="34"/>
      <x:c r="B724" s="34"/>
      <x:c r="C724" s="34"/>
      <x:c r="D724" s="34"/>
      <x:c r="E724" s="35"/>
      <x:c r="F724" s="35"/>
      <x:c r="G724" s="35"/>
      <x:c r="H724" s="35" t="str">
        <x:f>IF(B724="","",IF(COUNTIFS($B$2:B724,B724,$C$2:C724,C724,$D$2:D724,D724)=1,E724-SUMIFS($G$2:$G$1001,$B$2:$B$1001,B724,$C$2:$C$1001,C724,$D$2:$D$1001,D724),0))</x:f>
      </x:c>
    </x:row>
    <x:row r="725" ht="24" customHeight="1">
      <x:c r="A725" s="34"/>
      <x:c r="B725" s="34"/>
      <x:c r="C725" s="34"/>
      <x:c r="D725" s="34"/>
      <x:c r="E725" s="35"/>
      <x:c r="F725" s="35"/>
      <x:c r="G725" s="35"/>
      <x:c r="H725" s="35" t="str">
        <x:f>IF(B725="","",IF(COUNTIFS($B$2:B725,B725,$C$2:C725,C725,$D$2:D725,D725)=1,E725-SUMIFS($G$2:$G$1001,$B$2:$B$1001,B725,$C$2:$C$1001,C725,$D$2:$D$1001,D725),0))</x:f>
      </x:c>
    </x:row>
    <x:row r="726" ht="24" customHeight="1">
      <x:c r="A726" s="34"/>
      <x:c r="B726" s="34"/>
      <x:c r="C726" s="34"/>
      <x:c r="D726" s="34"/>
      <x:c r="E726" s="35"/>
      <x:c r="F726" s="35"/>
      <x:c r="G726" s="35"/>
      <x:c r="H726" s="35" t="str">
        <x:f>IF(B726="","",IF(COUNTIFS($B$2:B726,B726,$C$2:C726,C726,$D$2:D726,D726)=1,E726-SUMIFS($G$2:$G$1001,$B$2:$B$1001,B726,$C$2:$C$1001,C726,$D$2:$D$1001,D726),0))</x:f>
      </x:c>
    </x:row>
    <x:row r="727" ht="24" customHeight="1">
      <x:c r="A727" s="34"/>
      <x:c r="B727" s="34"/>
      <x:c r="C727" s="34"/>
      <x:c r="D727" s="34"/>
      <x:c r="E727" s="35"/>
      <x:c r="F727" s="35"/>
      <x:c r="G727" s="35"/>
      <x:c r="H727" s="35" t="str">
        <x:f>IF(B727="","",IF(COUNTIFS($B$2:B727,B727,$C$2:C727,C727,$D$2:D727,D727)=1,E727-SUMIFS($G$2:$G$1001,$B$2:$B$1001,B727,$C$2:$C$1001,C727,$D$2:$D$1001,D727),0))</x:f>
      </x:c>
    </x:row>
    <x:row r="728" ht="24" customHeight="1">
      <x:c r="A728" s="34"/>
      <x:c r="B728" s="34"/>
      <x:c r="C728" s="34"/>
      <x:c r="D728" s="34"/>
      <x:c r="E728" s="35"/>
      <x:c r="F728" s="35"/>
      <x:c r="G728" s="35"/>
      <x:c r="H728" s="35" t="str">
        <x:f>IF(B728="","",IF(COUNTIFS($B$2:B728,B728,$C$2:C728,C728,$D$2:D728,D728)=1,E728-SUMIFS($G$2:$G$1001,$B$2:$B$1001,B728,$C$2:$C$1001,C728,$D$2:$D$1001,D728),0))</x:f>
      </x:c>
    </x:row>
    <x:row r="729" ht="24" customHeight="1">
      <x:c r="A729" s="34"/>
      <x:c r="B729" s="34"/>
      <x:c r="C729" s="34"/>
      <x:c r="D729" s="34"/>
      <x:c r="E729" s="35"/>
      <x:c r="F729" s="35"/>
      <x:c r="G729" s="35"/>
      <x:c r="H729" s="35" t="str">
        <x:f>IF(B729="","",IF(COUNTIFS($B$2:B729,B729,$C$2:C729,C729,$D$2:D729,D729)=1,E729-SUMIFS($G$2:$G$1001,$B$2:$B$1001,B729,$C$2:$C$1001,C729,$D$2:$D$1001,D729),0))</x:f>
      </x:c>
    </x:row>
    <x:row r="730" ht="24" customHeight="1">
      <x:c r="A730" s="34"/>
      <x:c r="B730" s="34"/>
      <x:c r="C730" s="34"/>
      <x:c r="D730" s="34"/>
      <x:c r="E730" s="35"/>
      <x:c r="F730" s="35"/>
      <x:c r="G730" s="35"/>
      <x:c r="H730" s="35" t="str">
        <x:f>IF(B730="","",IF(COUNTIFS($B$2:B730,B730,$C$2:C730,C730,$D$2:D730,D730)=1,E730-SUMIFS($G$2:$G$1001,$B$2:$B$1001,B730,$C$2:$C$1001,C730,$D$2:$D$1001,D730),0))</x:f>
      </x:c>
    </x:row>
    <x:row r="731" ht="24" customHeight="1">
      <x:c r="A731" s="34"/>
      <x:c r="B731" s="34"/>
      <x:c r="C731" s="34"/>
      <x:c r="D731" s="34"/>
      <x:c r="E731" s="35"/>
      <x:c r="F731" s="35"/>
      <x:c r="G731" s="35"/>
      <x:c r="H731" s="35" t="str">
        <x:f>IF(B731="","",IF(COUNTIFS($B$2:B731,B731,$C$2:C731,C731,$D$2:D731,D731)=1,E731-SUMIFS($G$2:$G$1001,$B$2:$B$1001,B731,$C$2:$C$1001,C731,$D$2:$D$1001,D731),0))</x:f>
      </x:c>
    </x:row>
    <x:row r="732" ht="24" customHeight="1">
      <x:c r="A732" s="34"/>
      <x:c r="B732" s="34"/>
      <x:c r="C732" s="34"/>
      <x:c r="D732" s="34"/>
      <x:c r="E732" s="35"/>
      <x:c r="F732" s="35"/>
      <x:c r="G732" s="35"/>
      <x:c r="H732" s="35" t="str">
        <x:f>IF(B732="","",IF(COUNTIFS($B$2:B732,B732,$C$2:C732,C732,$D$2:D732,D732)=1,E732-SUMIFS($G$2:$G$1001,$B$2:$B$1001,B732,$C$2:$C$1001,C732,$D$2:$D$1001,D732),0))</x:f>
      </x:c>
    </x:row>
    <x:row r="733" ht="24" customHeight="1">
      <x:c r="A733" s="34"/>
      <x:c r="B733" s="34"/>
      <x:c r="C733" s="34"/>
      <x:c r="D733" s="34"/>
      <x:c r="E733" s="35"/>
      <x:c r="F733" s="35"/>
      <x:c r="G733" s="35"/>
      <x:c r="H733" s="35" t="str">
        <x:f>IF(B733="","",IF(COUNTIFS($B$2:B733,B733,$C$2:C733,C733,$D$2:D733,D733)=1,E733-SUMIFS($G$2:$G$1001,$B$2:$B$1001,B733,$C$2:$C$1001,C733,$D$2:$D$1001,D733),0))</x:f>
      </x:c>
    </x:row>
    <x:row r="734" ht="24" customHeight="1">
      <x:c r="A734" s="34"/>
      <x:c r="B734" s="34"/>
      <x:c r="C734" s="34"/>
      <x:c r="D734" s="34"/>
      <x:c r="E734" s="35"/>
      <x:c r="F734" s="35"/>
      <x:c r="G734" s="35"/>
      <x:c r="H734" s="35" t="str">
        <x:f>IF(B734="","",IF(COUNTIFS($B$2:B734,B734,$C$2:C734,C734,$D$2:D734,D734)=1,E734-SUMIFS($G$2:$G$1001,$B$2:$B$1001,B734,$C$2:$C$1001,C734,$D$2:$D$1001,D734),0))</x:f>
      </x:c>
    </x:row>
    <x:row r="735" ht="24" customHeight="1">
      <x:c r="A735" s="34"/>
      <x:c r="B735" s="34"/>
      <x:c r="C735" s="34"/>
      <x:c r="D735" s="34"/>
      <x:c r="E735" s="35"/>
      <x:c r="F735" s="35"/>
      <x:c r="G735" s="35"/>
      <x:c r="H735" s="35" t="str">
        <x:f>IF(B735="","",IF(COUNTIFS($B$2:B735,B735,$C$2:C735,C735,$D$2:D735,D735)=1,E735-SUMIFS($G$2:$G$1001,$B$2:$B$1001,B735,$C$2:$C$1001,C735,$D$2:$D$1001,D735),0))</x:f>
      </x:c>
    </x:row>
    <x:row r="736" ht="24" customHeight="1">
      <x:c r="A736" s="34"/>
      <x:c r="B736" s="34"/>
      <x:c r="C736" s="34"/>
      <x:c r="D736" s="34"/>
      <x:c r="E736" s="35"/>
      <x:c r="F736" s="35"/>
      <x:c r="G736" s="35"/>
      <x:c r="H736" s="35" t="str">
        <x:f>IF(B736="","",IF(COUNTIFS($B$2:B736,B736,$C$2:C736,C736,$D$2:D736,D736)=1,E736-SUMIFS($G$2:$G$1001,$B$2:$B$1001,B736,$C$2:$C$1001,C736,$D$2:$D$1001,D736),0))</x:f>
      </x:c>
    </x:row>
    <x:row r="737" ht="24" customHeight="1">
      <x:c r="A737" s="34"/>
      <x:c r="B737" s="34"/>
      <x:c r="C737" s="34"/>
      <x:c r="D737" s="34"/>
      <x:c r="E737" s="35"/>
      <x:c r="F737" s="35"/>
      <x:c r="G737" s="35"/>
      <x:c r="H737" s="35" t="str">
        <x:f>IF(B737="","",IF(COUNTIFS($B$2:B737,B737,$C$2:C737,C737,$D$2:D737,D737)=1,E737-SUMIFS($G$2:$G$1001,$B$2:$B$1001,B737,$C$2:$C$1001,C737,$D$2:$D$1001,D737),0))</x:f>
      </x:c>
    </x:row>
    <x:row r="738" ht="24" customHeight="1">
      <x:c r="A738" s="34"/>
      <x:c r="B738" s="34"/>
      <x:c r="C738" s="34"/>
      <x:c r="D738" s="34"/>
      <x:c r="E738" s="35"/>
      <x:c r="F738" s="35"/>
      <x:c r="G738" s="35"/>
      <x:c r="H738" s="35" t="str">
        <x:f>IF(B738="","",IF(COUNTIFS($B$2:B738,B738,$C$2:C738,C738,$D$2:D738,D738)=1,E738-SUMIFS($G$2:$G$1001,$B$2:$B$1001,B738,$C$2:$C$1001,C738,$D$2:$D$1001,D738),0))</x:f>
      </x:c>
    </x:row>
    <x:row r="739" ht="24" customHeight="1">
      <x:c r="A739" s="34"/>
      <x:c r="B739" s="34"/>
      <x:c r="C739" s="34"/>
      <x:c r="D739" s="34"/>
      <x:c r="E739" s="35"/>
      <x:c r="F739" s="35"/>
      <x:c r="G739" s="35"/>
      <x:c r="H739" s="35" t="str">
        <x:f>IF(B739="","",IF(COUNTIFS($B$2:B739,B739,$C$2:C739,C739,$D$2:D739,D739)=1,E739-SUMIFS($G$2:$G$1001,$B$2:$B$1001,B739,$C$2:$C$1001,C739,$D$2:$D$1001,D739),0))</x:f>
      </x:c>
    </x:row>
    <x:row r="740" ht="24" customHeight="1">
      <x:c r="A740" s="34"/>
      <x:c r="B740" s="34"/>
      <x:c r="C740" s="34"/>
      <x:c r="D740" s="34"/>
      <x:c r="E740" s="35"/>
      <x:c r="F740" s="35"/>
      <x:c r="G740" s="35"/>
      <x:c r="H740" s="35" t="str">
        <x:f>IF(B740="","",IF(COUNTIFS($B$2:B740,B740,$C$2:C740,C740,$D$2:D740,D740)=1,E740-SUMIFS($G$2:$G$1001,$B$2:$B$1001,B740,$C$2:$C$1001,C740,$D$2:$D$1001,D740),0))</x:f>
      </x:c>
    </x:row>
    <x:row r="741" ht="24" customHeight="1">
      <x:c r="A741" s="34"/>
      <x:c r="B741" s="34"/>
      <x:c r="C741" s="34"/>
      <x:c r="D741" s="34"/>
      <x:c r="E741" s="35"/>
      <x:c r="F741" s="35"/>
      <x:c r="G741" s="35"/>
      <x:c r="H741" s="35" t="str">
        <x:f>IF(B741="","",IF(COUNTIFS($B$2:B741,B741,$C$2:C741,C741,$D$2:D741,D741)=1,E741-SUMIFS($G$2:$G$1001,$B$2:$B$1001,B741,$C$2:$C$1001,C741,$D$2:$D$1001,D741),0))</x:f>
      </x:c>
    </x:row>
    <x:row r="742" ht="24" customHeight="1">
      <x:c r="A742" s="34"/>
      <x:c r="B742" s="34"/>
      <x:c r="C742" s="34"/>
      <x:c r="D742" s="34"/>
      <x:c r="E742" s="35"/>
      <x:c r="F742" s="35"/>
      <x:c r="G742" s="35"/>
      <x:c r="H742" s="35" t="str">
        <x:f>IF(B742="","",IF(COUNTIFS($B$2:B742,B742,$C$2:C742,C742,$D$2:D742,D742)=1,E742-SUMIFS($G$2:$G$1001,$B$2:$B$1001,B742,$C$2:$C$1001,C742,$D$2:$D$1001,D742),0))</x:f>
      </x:c>
    </x:row>
    <x:row r="743" ht="24" customHeight="1">
      <x:c r="A743" s="34"/>
      <x:c r="B743" s="34"/>
      <x:c r="C743" s="34"/>
      <x:c r="D743" s="34"/>
      <x:c r="E743" s="35"/>
      <x:c r="F743" s="35"/>
      <x:c r="G743" s="35"/>
      <x:c r="H743" s="35" t="str">
        <x:f>IF(B743="","",IF(COUNTIFS($B$2:B743,B743,$C$2:C743,C743,$D$2:D743,D743)=1,E743-SUMIFS($G$2:$G$1001,$B$2:$B$1001,B743,$C$2:$C$1001,C743,$D$2:$D$1001,D743),0))</x:f>
      </x:c>
    </x:row>
    <x:row r="744" ht="24" customHeight="1">
      <x:c r="A744" s="34"/>
      <x:c r="B744" s="34"/>
      <x:c r="C744" s="34"/>
      <x:c r="D744" s="34"/>
      <x:c r="E744" s="35"/>
      <x:c r="F744" s="35"/>
      <x:c r="G744" s="35"/>
      <x:c r="H744" s="35" t="str">
        <x:f>IF(B744="","",IF(COUNTIFS($B$2:B744,B744,$C$2:C744,C744,$D$2:D744,D744)=1,E744-SUMIFS($G$2:$G$1001,$B$2:$B$1001,B744,$C$2:$C$1001,C744,$D$2:$D$1001,D744),0))</x:f>
      </x:c>
    </x:row>
    <x:row r="745" ht="24" customHeight="1">
      <x:c r="A745" s="34"/>
      <x:c r="B745" s="34"/>
      <x:c r="C745" s="34"/>
      <x:c r="D745" s="34"/>
      <x:c r="E745" s="35"/>
      <x:c r="F745" s="35"/>
      <x:c r="G745" s="35"/>
      <x:c r="H745" s="35" t="str">
        <x:f>IF(B745="","",IF(COUNTIFS($B$2:B745,B745,$C$2:C745,C745,$D$2:D745,D745)=1,E745-SUMIFS($G$2:$G$1001,$B$2:$B$1001,B745,$C$2:$C$1001,C745,$D$2:$D$1001,D745),0))</x:f>
      </x:c>
    </x:row>
    <x:row r="746" ht="24" customHeight="1">
      <x:c r="A746" s="34"/>
      <x:c r="B746" s="34"/>
      <x:c r="C746" s="34"/>
      <x:c r="D746" s="34"/>
      <x:c r="E746" s="35"/>
      <x:c r="F746" s="35"/>
      <x:c r="G746" s="35"/>
      <x:c r="H746" s="35" t="str">
        <x:f>IF(B746="","",IF(COUNTIFS($B$2:B746,B746,$C$2:C746,C746,$D$2:D746,D746)=1,E746-SUMIFS($G$2:$G$1001,$B$2:$B$1001,B746,$C$2:$C$1001,C746,$D$2:$D$1001,D746),0))</x:f>
      </x:c>
    </x:row>
    <x:row r="747" ht="24" customHeight="1">
      <x:c r="A747" s="34"/>
      <x:c r="B747" s="34"/>
      <x:c r="C747" s="34"/>
      <x:c r="D747" s="34"/>
      <x:c r="E747" s="35"/>
      <x:c r="F747" s="35"/>
      <x:c r="G747" s="35"/>
      <x:c r="H747" s="35" t="str">
        <x:f>IF(B747="","",IF(COUNTIFS($B$2:B747,B747,$C$2:C747,C747,$D$2:D747,D747)=1,E747-SUMIFS($G$2:$G$1001,$B$2:$B$1001,B747,$C$2:$C$1001,C747,$D$2:$D$1001,D747),0))</x:f>
      </x:c>
    </x:row>
    <x:row r="748" ht="24" customHeight="1">
      <x:c r="A748" s="34"/>
      <x:c r="B748" s="34"/>
      <x:c r="C748" s="34"/>
      <x:c r="D748" s="34"/>
      <x:c r="E748" s="35"/>
      <x:c r="F748" s="35"/>
      <x:c r="G748" s="35"/>
      <x:c r="H748" s="35" t="str">
        <x:f>IF(B748="","",IF(COUNTIFS($B$2:B748,B748,$C$2:C748,C748,$D$2:D748,D748)=1,E748-SUMIFS($G$2:$G$1001,$B$2:$B$1001,B748,$C$2:$C$1001,C748,$D$2:$D$1001,D748),0))</x:f>
      </x:c>
    </x:row>
    <x:row r="749" ht="24" customHeight="1">
      <x:c r="A749" s="34"/>
      <x:c r="B749" s="34"/>
      <x:c r="C749" s="34"/>
      <x:c r="D749" s="34"/>
      <x:c r="E749" s="35"/>
      <x:c r="F749" s="35"/>
      <x:c r="G749" s="35"/>
      <x:c r="H749" s="35" t="str">
        <x:f>IF(B749="","",IF(COUNTIFS($B$2:B749,B749,$C$2:C749,C749,$D$2:D749,D749)=1,E749-SUMIFS($G$2:$G$1001,$B$2:$B$1001,B749,$C$2:$C$1001,C749,$D$2:$D$1001,D749),0))</x:f>
      </x:c>
    </x:row>
    <x:row r="750" ht="24" customHeight="1">
      <x:c r="A750" s="34"/>
      <x:c r="B750" s="34"/>
      <x:c r="C750" s="34"/>
      <x:c r="D750" s="34"/>
      <x:c r="E750" s="35"/>
      <x:c r="F750" s="35"/>
      <x:c r="G750" s="35"/>
      <x:c r="H750" s="35" t="str">
        <x:f>IF(B750="","",IF(COUNTIFS($B$2:B750,B750,$C$2:C750,C750,$D$2:D750,D750)=1,E750-SUMIFS($G$2:$G$1001,$B$2:$B$1001,B750,$C$2:$C$1001,C750,$D$2:$D$1001,D750),0))</x:f>
      </x:c>
    </x:row>
    <x:row r="751" ht="24" customHeight="1">
      <x:c r="A751" s="34"/>
      <x:c r="B751" s="34"/>
      <x:c r="C751" s="34"/>
      <x:c r="D751" s="34"/>
      <x:c r="E751" s="35"/>
      <x:c r="F751" s="35"/>
      <x:c r="G751" s="35"/>
      <x:c r="H751" s="35" t="str">
        <x:f>IF(B751="","",IF(COUNTIFS($B$2:B751,B751,$C$2:C751,C751,$D$2:D751,D751)=1,E751-SUMIFS($G$2:$G$1001,$B$2:$B$1001,B751,$C$2:$C$1001,C751,$D$2:$D$1001,D751),0))</x:f>
      </x:c>
    </x:row>
    <x:row r="752" ht="24" customHeight="1">
      <x:c r="A752" s="34"/>
      <x:c r="B752" s="34"/>
      <x:c r="C752" s="34"/>
      <x:c r="D752" s="34"/>
      <x:c r="E752" s="35"/>
      <x:c r="F752" s="35"/>
      <x:c r="G752" s="35"/>
      <x:c r="H752" s="35" t="str">
        <x:f>IF(B752="","",IF(COUNTIFS($B$2:B752,B752,$C$2:C752,C752,$D$2:D752,D752)=1,E752-SUMIFS($G$2:$G$1001,$B$2:$B$1001,B752,$C$2:$C$1001,C752,$D$2:$D$1001,D752),0))</x:f>
      </x:c>
    </x:row>
    <x:row r="753" ht="24" customHeight="1">
      <x:c r="A753" s="34"/>
      <x:c r="B753" s="34"/>
      <x:c r="C753" s="34"/>
      <x:c r="D753" s="34"/>
      <x:c r="E753" s="35"/>
      <x:c r="F753" s="35"/>
      <x:c r="G753" s="35"/>
      <x:c r="H753" s="35" t="str">
        <x:f>IF(B753="","",IF(COUNTIFS($B$2:B753,B753,$C$2:C753,C753,$D$2:D753,D753)=1,E753-SUMIFS($G$2:$G$1001,$B$2:$B$1001,B753,$C$2:$C$1001,C753,$D$2:$D$1001,D753),0))</x:f>
      </x:c>
    </x:row>
    <x:row r="754" ht="24" customHeight="1">
      <x:c r="A754" s="34"/>
      <x:c r="B754" s="34"/>
      <x:c r="C754" s="34"/>
      <x:c r="D754" s="34"/>
      <x:c r="E754" s="35"/>
      <x:c r="F754" s="35"/>
      <x:c r="G754" s="35"/>
      <x:c r="H754" s="35" t="str">
        <x:f>IF(B754="","",IF(COUNTIFS($B$2:B754,B754,$C$2:C754,C754,$D$2:D754,D754)=1,E754-SUMIFS($G$2:$G$1001,$B$2:$B$1001,B754,$C$2:$C$1001,C754,$D$2:$D$1001,D754),0))</x:f>
      </x:c>
    </x:row>
    <x:row r="755" ht="24" customHeight="1">
      <x:c r="A755" s="34"/>
      <x:c r="B755" s="34"/>
      <x:c r="C755" s="34"/>
      <x:c r="D755" s="34"/>
      <x:c r="E755" s="35"/>
      <x:c r="F755" s="35"/>
      <x:c r="G755" s="35"/>
      <x:c r="H755" s="35" t="str">
        <x:f>IF(B755="","",IF(COUNTIFS($B$2:B755,B755,$C$2:C755,C755,$D$2:D755,D755)=1,E755-SUMIFS($G$2:$G$1001,$B$2:$B$1001,B755,$C$2:$C$1001,C755,$D$2:$D$1001,D755),0))</x:f>
      </x:c>
    </x:row>
    <x:row r="756" ht="24" customHeight="1">
      <x:c r="A756" s="34"/>
      <x:c r="B756" s="34"/>
      <x:c r="C756" s="34"/>
      <x:c r="D756" s="34"/>
      <x:c r="E756" s="35"/>
      <x:c r="F756" s="35"/>
      <x:c r="G756" s="35"/>
      <x:c r="H756" s="35" t="str">
        <x:f>IF(B756="","",IF(COUNTIFS($B$2:B756,B756,$C$2:C756,C756,$D$2:D756,D756)=1,E756-SUMIFS($G$2:$G$1001,$B$2:$B$1001,B756,$C$2:$C$1001,C756,$D$2:$D$1001,D756),0))</x:f>
      </x:c>
    </x:row>
    <x:row r="757" ht="24" customHeight="1">
      <x:c r="A757" s="34"/>
      <x:c r="B757" s="34"/>
      <x:c r="C757" s="34"/>
      <x:c r="D757" s="34"/>
      <x:c r="E757" s="35"/>
      <x:c r="F757" s="35"/>
      <x:c r="G757" s="35"/>
      <x:c r="H757" s="35" t="str">
        <x:f>IF(B757="","",IF(COUNTIFS($B$2:B757,B757,$C$2:C757,C757,$D$2:D757,D757)=1,E757-SUMIFS($G$2:$G$1001,$B$2:$B$1001,B757,$C$2:$C$1001,C757,$D$2:$D$1001,D757),0))</x:f>
      </x:c>
    </x:row>
    <x:row r="758" ht="24" customHeight="1">
      <x:c r="A758" s="34"/>
      <x:c r="B758" s="34"/>
      <x:c r="C758" s="34"/>
      <x:c r="D758" s="34"/>
      <x:c r="E758" s="35"/>
      <x:c r="F758" s="35"/>
      <x:c r="G758" s="35"/>
      <x:c r="H758" s="35" t="str">
        <x:f>IF(B758="","",IF(COUNTIFS($B$2:B758,B758,$C$2:C758,C758,$D$2:D758,D758)=1,E758-SUMIFS($G$2:$G$1001,$B$2:$B$1001,B758,$C$2:$C$1001,C758,$D$2:$D$1001,D758),0))</x:f>
      </x:c>
    </x:row>
    <x:row r="759" ht="24" customHeight="1">
      <x:c r="A759" s="34"/>
      <x:c r="B759" s="34"/>
      <x:c r="C759" s="34"/>
      <x:c r="D759" s="34"/>
      <x:c r="E759" s="35"/>
      <x:c r="F759" s="35"/>
      <x:c r="G759" s="35"/>
      <x:c r="H759" s="35" t="str">
        <x:f>IF(B759="","",IF(COUNTIFS($B$2:B759,B759,$C$2:C759,C759,$D$2:D759,D759)=1,E759-SUMIFS($G$2:$G$1001,$B$2:$B$1001,B759,$C$2:$C$1001,C759,$D$2:$D$1001,D759),0))</x:f>
      </x:c>
    </x:row>
    <x:row r="760" ht="24" customHeight="1">
      <x:c r="A760" s="34"/>
      <x:c r="B760" s="34"/>
      <x:c r="C760" s="34"/>
      <x:c r="D760" s="34"/>
      <x:c r="E760" s="35"/>
      <x:c r="F760" s="35"/>
      <x:c r="G760" s="35"/>
      <x:c r="H760" s="35" t="str">
        <x:f>IF(B760="","",IF(COUNTIFS($B$2:B760,B760,$C$2:C760,C760,$D$2:D760,D760)=1,E760-SUMIFS($G$2:$G$1001,$B$2:$B$1001,B760,$C$2:$C$1001,C760,$D$2:$D$1001,D760),0))</x:f>
      </x:c>
    </x:row>
    <x:row r="761" ht="24" customHeight="1">
      <x:c r="A761" s="34"/>
      <x:c r="B761" s="34"/>
      <x:c r="C761" s="34"/>
      <x:c r="D761" s="34"/>
      <x:c r="E761" s="35"/>
      <x:c r="F761" s="35"/>
      <x:c r="G761" s="35"/>
      <x:c r="H761" s="35" t="str">
        <x:f>IF(B761="","",IF(COUNTIFS($B$2:B761,B761,$C$2:C761,C761,$D$2:D761,D761)=1,E761-SUMIFS($G$2:$G$1001,$B$2:$B$1001,B761,$C$2:$C$1001,C761,$D$2:$D$1001,D761),0))</x:f>
      </x:c>
    </x:row>
    <x:row r="762" ht="24" customHeight="1">
      <x:c r="A762" s="34"/>
      <x:c r="B762" s="34"/>
      <x:c r="C762" s="34"/>
      <x:c r="D762" s="34"/>
      <x:c r="E762" s="35"/>
      <x:c r="F762" s="35"/>
      <x:c r="G762" s="35"/>
      <x:c r="H762" s="35" t="str">
        <x:f>IF(B762="","",IF(COUNTIFS($B$2:B762,B762,$C$2:C762,C762,$D$2:D762,D762)=1,E762-SUMIFS($G$2:$G$1001,$B$2:$B$1001,B762,$C$2:$C$1001,C762,$D$2:$D$1001,D762),0))</x:f>
      </x:c>
    </x:row>
    <x:row r="763" ht="24" customHeight="1">
      <x:c r="A763" s="34"/>
      <x:c r="B763" s="34"/>
      <x:c r="C763" s="34"/>
      <x:c r="D763" s="34"/>
      <x:c r="E763" s="35"/>
      <x:c r="F763" s="35"/>
      <x:c r="G763" s="35"/>
      <x:c r="H763" s="35" t="str">
        <x:f>IF(B763="","",IF(COUNTIFS($B$2:B763,B763,$C$2:C763,C763,$D$2:D763,D763)=1,E763-SUMIFS($G$2:$G$1001,$B$2:$B$1001,B763,$C$2:$C$1001,C763,$D$2:$D$1001,D763),0))</x:f>
      </x:c>
    </x:row>
    <x:row r="764" ht="24" customHeight="1">
      <x:c r="A764" s="34"/>
      <x:c r="B764" s="34"/>
      <x:c r="C764" s="34"/>
      <x:c r="D764" s="34"/>
      <x:c r="E764" s="35"/>
      <x:c r="F764" s="35"/>
      <x:c r="G764" s="35"/>
      <x:c r="H764" s="35" t="str">
        <x:f>IF(B764="","",IF(COUNTIFS($B$2:B764,B764,$C$2:C764,C764,$D$2:D764,D764)=1,E764-SUMIFS($G$2:$G$1001,$B$2:$B$1001,B764,$C$2:$C$1001,C764,$D$2:$D$1001,D764),0))</x:f>
      </x:c>
    </x:row>
    <x:row r="765" ht="24" customHeight="1">
      <x:c r="A765" s="34"/>
      <x:c r="B765" s="34"/>
      <x:c r="C765" s="34"/>
      <x:c r="D765" s="34"/>
      <x:c r="E765" s="35"/>
      <x:c r="F765" s="35"/>
      <x:c r="G765" s="35"/>
      <x:c r="H765" s="35" t="str">
        <x:f>IF(B765="","",IF(COUNTIFS($B$2:B765,B765,$C$2:C765,C765,$D$2:D765,D765)=1,E765-SUMIFS($G$2:$G$1001,$B$2:$B$1001,B765,$C$2:$C$1001,C765,$D$2:$D$1001,D765),0))</x:f>
      </x:c>
    </x:row>
    <x:row r="766" ht="24" customHeight="1">
      <x:c r="A766" s="34"/>
      <x:c r="B766" s="34"/>
      <x:c r="C766" s="34"/>
      <x:c r="D766" s="34"/>
      <x:c r="E766" s="35"/>
      <x:c r="F766" s="35"/>
      <x:c r="G766" s="35"/>
      <x:c r="H766" s="35" t="str">
        <x:f>IF(B766="","",IF(COUNTIFS($B$2:B766,B766,$C$2:C766,C766,$D$2:D766,D766)=1,E766-SUMIFS($G$2:$G$1001,$B$2:$B$1001,B766,$C$2:$C$1001,C766,$D$2:$D$1001,D766),0))</x:f>
      </x:c>
    </x:row>
    <x:row r="767" ht="24" customHeight="1">
      <x:c r="A767" s="34"/>
      <x:c r="B767" s="34"/>
      <x:c r="C767" s="34"/>
      <x:c r="D767" s="34"/>
      <x:c r="E767" s="35"/>
      <x:c r="F767" s="35"/>
      <x:c r="G767" s="35"/>
      <x:c r="H767" s="35" t="str">
        <x:f>IF(B767="","",IF(COUNTIFS($B$2:B767,B767,$C$2:C767,C767,$D$2:D767,D767)=1,E767-SUMIFS($G$2:$G$1001,$B$2:$B$1001,B767,$C$2:$C$1001,C767,$D$2:$D$1001,D767),0))</x:f>
      </x:c>
    </x:row>
    <x:row r="768" ht="24" customHeight="1">
      <x:c r="A768" s="34"/>
      <x:c r="B768" s="34"/>
      <x:c r="C768" s="34"/>
      <x:c r="D768" s="34"/>
      <x:c r="E768" s="35"/>
      <x:c r="F768" s="35"/>
      <x:c r="G768" s="35"/>
      <x:c r="H768" s="35" t="str">
        <x:f>IF(B768="","",IF(COUNTIFS($B$2:B768,B768,$C$2:C768,C768,$D$2:D768,D768)=1,E768-SUMIFS($G$2:$G$1001,$B$2:$B$1001,B768,$C$2:$C$1001,C768,$D$2:$D$1001,D768),0))</x:f>
      </x:c>
    </x:row>
    <x:row r="769" ht="24" customHeight="1">
      <x:c r="A769" s="34"/>
      <x:c r="B769" s="34"/>
      <x:c r="C769" s="34"/>
      <x:c r="D769" s="34"/>
      <x:c r="E769" s="35"/>
      <x:c r="F769" s="35"/>
      <x:c r="G769" s="35"/>
      <x:c r="H769" s="35" t="str">
        <x:f>IF(B769="","",IF(COUNTIFS($B$2:B769,B769,$C$2:C769,C769,$D$2:D769,D769)=1,E769-SUMIFS($G$2:$G$1001,$B$2:$B$1001,B769,$C$2:$C$1001,C769,$D$2:$D$1001,D769),0))</x:f>
      </x:c>
    </x:row>
    <x:row r="770" ht="24" customHeight="1">
      <x:c r="A770" s="34"/>
      <x:c r="B770" s="34"/>
      <x:c r="C770" s="34"/>
      <x:c r="D770" s="34"/>
      <x:c r="E770" s="35"/>
      <x:c r="F770" s="35"/>
      <x:c r="G770" s="35"/>
      <x:c r="H770" s="35" t="str">
        <x:f>IF(B770="","",IF(COUNTIFS($B$2:B770,B770,$C$2:C770,C770,$D$2:D770,D770)=1,E770-SUMIFS($G$2:$G$1001,$B$2:$B$1001,B770,$C$2:$C$1001,C770,$D$2:$D$1001,D770),0))</x:f>
      </x:c>
    </x:row>
    <x:row r="771" ht="24" customHeight="1">
      <x:c r="A771" s="34"/>
      <x:c r="B771" s="34"/>
      <x:c r="C771" s="34"/>
      <x:c r="D771" s="34"/>
      <x:c r="E771" s="35"/>
      <x:c r="F771" s="35"/>
      <x:c r="G771" s="35"/>
      <x:c r="H771" s="35" t="str">
        <x:f>IF(B771="","",IF(COUNTIFS($B$2:B771,B771,$C$2:C771,C771,$D$2:D771,D771)=1,E771-SUMIFS($G$2:$G$1001,$B$2:$B$1001,B771,$C$2:$C$1001,C771,$D$2:$D$1001,D771),0))</x:f>
      </x:c>
    </x:row>
    <x:row r="772" ht="24" customHeight="1">
      <x:c r="A772" s="34"/>
      <x:c r="B772" s="34"/>
      <x:c r="C772" s="34"/>
      <x:c r="D772" s="34"/>
      <x:c r="E772" s="35"/>
      <x:c r="F772" s="35"/>
      <x:c r="G772" s="35"/>
      <x:c r="H772" s="35" t="str">
        <x:f>IF(B772="","",IF(COUNTIFS($B$2:B772,B772,$C$2:C772,C772,$D$2:D772,D772)=1,E772-SUMIFS($G$2:$G$1001,$B$2:$B$1001,B772,$C$2:$C$1001,C772,$D$2:$D$1001,D772),0))</x:f>
      </x:c>
    </x:row>
    <x:row r="773" ht="24" customHeight="1">
      <x:c r="A773" s="34"/>
      <x:c r="B773" s="34"/>
      <x:c r="C773" s="34"/>
      <x:c r="D773" s="34"/>
      <x:c r="E773" s="35"/>
      <x:c r="F773" s="35"/>
      <x:c r="G773" s="35"/>
      <x:c r="H773" s="35" t="str">
        <x:f>IF(B773="","",IF(COUNTIFS($B$2:B773,B773,$C$2:C773,C773,$D$2:D773,D773)=1,E773-SUMIFS($G$2:$G$1001,$B$2:$B$1001,B773,$C$2:$C$1001,C773,$D$2:$D$1001,D773),0))</x:f>
      </x:c>
    </x:row>
    <x:row r="774" ht="24" customHeight="1">
      <x:c r="A774" s="34"/>
      <x:c r="B774" s="34"/>
      <x:c r="C774" s="34"/>
      <x:c r="D774" s="34"/>
      <x:c r="E774" s="35"/>
      <x:c r="F774" s="35"/>
      <x:c r="G774" s="35"/>
      <x:c r="H774" s="35" t="str">
        <x:f>IF(B774="","",IF(COUNTIFS($B$2:B774,B774,$C$2:C774,C774,$D$2:D774,D774)=1,E774-SUMIFS($G$2:$G$1001,$B$2:$B$1001,B774,$C$2:$C$1001,C774,$D$2:$D$1001,D774),0))</x:f>
      </x:c>
    </x:row>
    <x:row r="775" ht="24" customHeight="1">
      <x:c r="A775" s="34"/>
      <x:c r="B775" s="34"/>
      <x:c r="C775" s="34"/>
      <x:c r="D775" s="34"/>
      <x:c r="E775" s="35"/>
      <x:c r="F775" s="35"/>
      <x:c r="G775" s="35"/>
      <x:c r="H775" s="35" t="str">
        <x:f>IF(B775="","",IF(COUNTIFS($B$2:B775,B775,$C$2:C775,C775,$D$2:D775,D775)=1,E775-SUMIFS($G$2:$G$1001,$B$2:$B$1001,B775,$C$2:$C$1001,C775,$D$2:$D$1001,D775),0))</x:f>
      </x:c>
    </x:row>
    <x:row r="776" ht="24" customHeight="1">
      <x:c r="A776" s="34"/>
      <x:c r="B776" s="34"/>
      <x:c r="C776" s="34"/>
      <x:c r="D776" s="34"/>
      <x:c r="E776" s="35"/>
      <x:c r="F776" s="35"/>
      <x:c r="G776" s="35"/>
      <x:c r="H776" s="35" t="str">
        <x:f>IF(B776="","",IF(COUNTIFS($B$2:B776,B776,$C$2:C776,C776,$D$2:D776,D776)=1,E776-SUMIFS($G$2:$G$1001,$B$2:$B$1001,B776,$C$2:$C$1001,C776,$D$2:$D$1001,D776),0))</x:f>
      </x:c>
    </x:row>
    <x:row r="777" ht="24" customHeight="1">
      <x:c r="A777" s="34"/>
      <x:c r="B777" s="34"/>
      <x:c r="C777" s="34"/>
      <x:c r="D777" s="34"/>
      <x:c r="E777" s="35"/>
      <x:c r="F777" s="35"/>
      <x:c r="G777" s="35"/>
      <x:c r="H777" s="35" t="str">
        <x:f>IF(B777="","",IF(COUNTIFS($B$2:B777,B777,$C$2:C777,C777,$D$2:D777,D777)=1,E777-SUMIFS($G$2:$G$1001,$B$2:$B$1001,B777,$C$2:$C$1001,C777,$D$2:$D$1001,D777),0))</x:f>
      </x:c>
    </x:row>
    <x:row r="778" ht="24" customHeight="1">
      <x:c r="A778" s="34"/>
      <x:c r="B778" s="34"/>
      <x:c r="C778" s="34"/>
      <x:c r="D778" s="34"/>
      <x:c r="E778" s="35"/>
      <x:c r="F778" s="35"/>
      <x:c r="G778" s="35"/>
      <x:c r="H778" s="35" t="str">
        <x:f>IF(B778="","",IF(COUNTIFS($B$2:B778,B778,$C$2:C778,C778,$D$2:D778,D778)=1,E778-SUMIFS($G$2:$G$1001,$B$2:$B$1001,B778,$C$2:$C$1001,C778,$D$2:$D$1001,D778),0))</x:f>
      </x:c>
    </x:row>
    <x:row r="779" ht="24" customHeight="1">
      <x:c r="A779" s="34"/>
      <x:c r="B779" s="34"/>
      <x:c r="C779" s="34"/>
      <x:c r="D779" s="34"/>
      <x:c r="E779" s="35"/>
      <x:c r="F779" s="35"/>
      <x:c r="G779" s="35"/>
      <x:c r="H779" s="35" t="str">
        <x:f>IF(B779="","",IF(COUNTIFS($B$2:B779,B779,$C$2:C779,C779,$D$2:D779,D779)=1,E779-SUMIFS($G$2:$G$1001,$B$2:$B$1001,B779,$C$2:$C$1001,C779,$D$2:$D$1001,D779),0))</x:f>
      </x:c>
    </x:row>
    <x:row r="780" ht="24" customHeight="1">
      <x:c r="A780" s="34"/>
      <x:c r="B780" s="34"/>
      <x:c r="C780" s="34"/>
      <x:c r="D780" s="34"/>
      <x:c r="E780" s="35"/>
      <x:c r="F780" s="35"/>
      <x:c r="G780" s="35"/>
      <x:c r="H780" s="35" t="str">
        <x:f>IF(B780="","",IF(COUNTIFS($B$2:B780,B780,$C$2:C780,C780,$D$2:D780,D780)=1,E780-SUMIFS($G$2:$G$1001,$B$2:$B$1001,B780,$C$2:$C$1001,C780,$D$2:$D$1001,D780),0))</x:f>
      </x:c>
    </x:row>
    <x:row r="781" ht="24" customHeight="1">
      <x:c r="A781" s="34"/>
      <x:c r="B781" s="34"/>
      <x:c r="C781" s="34"/>
      <x:c r="D781" s="34"/>
      <x:c r="E781" s="35"/>
      <x:c r="F781" s="35"/>
      <x:c r="G781" s="35"/>
      <x:c r="H781" s="35" t="str">
        <x:f>IF(B781="","",IF(COUNTIFS($B$2:B781,B781,$C$2:C781,C781,$D$2:D781,D781)=1,E781-SUMIFS($G$2:$G$1001,$B$2:$B$1001,B781,$C$2:$C$1001,C781,$D$2:$D$1001,D781),0))</x:f>
      </x:c>
    </x:row>
    <x:row r="782" ht="24" customHeight="1">
      <x:c r="A782" s="34"/>
      <x:c r="B782" s="34"/>
      <x:c r="C782" s="34"/>
      <x:c r="D782" s="34"/>
      <x:c r="E782" s="35"/>
      <x:c r="F782" s="35"/>
      <x:c r="G782" s="35"/>
      <x:c r="H782" s="35" t="str">
        <x:f>IF(B782="","",IF(COUNTIFS($B$2:B782,B782,$C$2:C782,C782,$D$2:D782,D782)=1,E782-SUMIFS($G$2:$G$1001,$B$2:$B$1001,B782,$C$2:$C$1001,C782,$D$2:$D$1001,D782),0))</x:f>
      </x:c>
    </x:row>
    <x:row r="783" ht="24" customHeight="1">
      <x:c r="A783" s="34"/>
      <x:c r="B783" s="34"/>
      <x:c r="C783" s="34"/>
      <x:c r="D783" s="34"/>
      <x:c r="E783" s="35"/>
      <x:c r="F783" s="35"/>
      <x:c r="G783" s="35"/>
      <x:c r="H783" s="35" t="str">
        <x:f>IF(B783="","",IF(COUNTIFS($B$2:B783,B783,$C$2:C783,C783,$D$2:D783,D783)=1,E783-SUMIFS($G$2:$G$1001,$B$2:$B$1001,B783,$C$2:$C$1001,C783,$D$2:$D$1001,D783),0))</x:f>
      </x:c>
    </x:row>
    <x:row r="784" ht="24" customHeight="1">
      <x:c r="A784" s="34"/>
      <x:c r="B784" s="34"/>
      <x:c r="C784" s="34"/>
      <x:c r="D784" s="34"/>
      <x:c r="E784" s="35"/>
      <x:c r="F784" s="35"/>
      <x:c r="G784" s="35"/>
      <x:c r="H784" s="35" t="str">
        <x:f>IF(B784="","",IF(COUNTIFS($B$2:B784,B784,$C$2:C784,C784,$D$2:D784,D784)=1,E784-SUMIFS($G$2:$G$1001,$B$2:$B$1001,B784,$C$2:$C$1001,C784,$D$2:$D$1001,D784),0))</x:f>
      </x:c>
    </x:row>
    <x:row r="785" ht="24" customHeight="1">
      <x:c r="A785" s="34"/>
      <x:c r="B785" s="34"/>
      <x:c r="C785" s="34"/>
      <x:c r="D785" s="34"/>
      <x:c r="E785" s="35"/>
      <x:c r="F785" s="35"/>
      <x:c r="G785" s="35"/>
      <x:c r="H785" s="35" t="str">
        <x:f>IF(B785="","",IF(COUNTIFS($B$2:B785,B785,$C$2:C785,C785,$D$2:D785,D785)=1,E785-SUMIFS($G$2:$G$1001,$B$2:$B$1001,B785,$C$2:$C$1001,C785,$D$2:$D$1001,D785),0))</x:f>
      </x:c>
    </x:row>
    <x:row r="786" ht="24" customHeight="1">
      <x:c r="A786" s="34"/>
      <x:c r="B786" s="34"/>
      <x:c r="C786" s="34"/>
      <x:c r="D786" s="34"/>
      <x:c r="E786" s="35"/>
      <x:c r="F786" s="35"/>
      <x:c r="G786" s="35"/>
      <x:c r="H786" s="35" t="str">
        <x:f>IF(B786="","",IF(COUNTIFS($B$2:B786,B786,$C$2:C786,C786,$D$2:D786,D786)=1,E786-SUMIFS($G$2:$G$1001,$B$2:$B$1001,B786,$C$2:$C$1001,C786,$D$2:$D$1001,D786),0))</x:f>
      </x:c>
    </x:row>
    <x:row r="787" ht="24" customHeight="1">
      <x:c r="A787" s="34"/>
      <x:c r="B787" s="34"/>
      <x:c r="C787" s="34"/>
      <x:c r="D787" s="34"/>
      <x:c r="E787" s="35"/>
      <x:c r="F787" s="35"/>
      <x:c r="G787" s="35"/>
      <x:c r="H787" s="35" t="str">
        <x:f>IF(B787="","",IF(COUNTIFS($B$2:B787,B787,$C$2:C787,C787,$D$2:D787,D787)=1,E787-SUMIFS($G$2:$G$1001,$B$2:$B$1001,B787,$C$2:$C$1001,C787,$D$2:$D$1001,D787),0))</x:f>
      </x:c>
    </x:row>
    <x:row r="788" ht="24" customHeight="1">
      <x:c r="A788" s="34"/>
      <x:c r="B788" s="34"/>
      <x:c r="C788" s="34"/>
      <x:c r="D788" s="34"/>
      <x:c r="E788" s="35"/>
      <x:c r="F788" s="35"/>
      <x:c r="G788" s="35"/>
      <x:c r="H788" s="35" t="str">
        <x:f>IF(B788="","",IF(COUNTIFS($B$2:B788,B788,$C$2:C788,C788,$D$2:D788,D788)=1,E788-SUMIFS($G$2:$G$1001,$B$2:$B$1001,B788,$C$2:$C$1001,C788,$D$2:$D$1001,D788),0))</x:f>
      </x:c>
    </x:row>
    <x:row r="789" ht="24" customHeight="1">
      <x:c r="A789" s="34"/>
      <x:c r="B789" s="34"/>
      <x:c r="C789" s="34"/>
      <x:c r="D789" s="34"/>
      <x:c r="E789" s="35"/>
      <x:c r="F789" s="35"/>
      <x:c r="G789" s="35"/>
      <x:c r="H789" s="35" t="str">
        <x:f>IF(B789="","",IF(COUNTIFS($B$2:B789,B789,$C$2:C789,C789,$D$2:D789,D789)=1,E789-SUMIFS($G$2:$G$1001,$B$2:$B$1001,B789,$C$2:$C$1001,C789,$D$2:$D$1001,D789),0))</x:f>
      </x:c>
    </x:row>
    <x:row r="790" ht="24" customHeight="1">
      <x:c r="A790" s="34"/>
      <x:c r="B790" s="34"/>
      <x:c r="C790" s="34"/>
      <x:c r="D790" s="34"/>
      <x:c r="E790" s="35"/>
      <x:c r="F790" s="35"/>
      <x:c r="G790" s="35"/>
      <x:c r="H790" s="35" t="str">
        <x:f>IF(B790="","",IF(COUNTIFS($B$2:B790,B790,$C$2:C790,C790,$D$2:D790,D790)=1,E790-SUMIFS($G$2:$G$1001,$B$2:$B$1001,B790,$C$2:$C$1001,C790,$D$2:$D$1001,D790),0))</x:f>
      </x:c>
    </x:row>
    <x:row r="791" ht="24" customHeight="1">
      <x:c r="A791" s="34"/>
      <x:c r="B791" s="34"/>
      <x:c r="C791" s="34"/>
      <x:c r="D791" s="34"/>
      <x:c r="E791" s="35"/>
      <x:c r="F791" s="35"/>
      <x:c r="G791" s="35"/>
      <x:c r="H791" s="35" t="str">
        <x:f>IF(B791="","",IF(COUNTIFS($B$2:B791,B791,$C$2:C791,C791,$D$2:D791,D791)=1,E791-SUMIFS($G$2:$G$1001,$B$2:$B$1001,B791,$C$2:$C$1001,C791,$D$2:$D$1001,D791),0))</x:f>
      </x:c>
    </x:row>
    <x:row r="792" ht="24" customHeight="1">
      <x:c r="A792" s="34"/>
      <x:c r="B792" s="34"/>
      <x:c r="C792" s="34"/>
      <x:c r="D792" s="34"/>
      <x:c r="E792" s="35"/>
      <x:c r="F792" s="35"/>
      <x:c r="G792" s="35"/>
      <x:c r="H792" s="35" t="str">
        <x:f>IF(B792="","",IF(COUNTIFS($B$2:B792,B792,$C$2:C792,C792,$D$2:D792,D792)=1,E792-SUMIFS($G$2:$G$1001,$B$2:$B$1001,B792,$C$2:$C$1001,C792,$D$2:$D$1001,D792),0))</x:f>
      </x:c>
    </x:row>
    <x:row r="793" ht="24" customHeight="1">
      <x:c r="A793" s="34"/>
      <x:c r="B793" s="34"/>
      <x:c r="C793" s="34"/>
      <x:c r="D793" s="34"/>
      <x:c r="E793" s="35"/>
      <x:c r="F793" s="35"/>
      <x:c r="G793" s="35"/>
      <x:c r="H793" s="35" t="str">
        <x:f>IF(B793="","",IF(COUNTIFS($B$2:B793,B793,$C$2:C793,C793,$D$2:D793,D793)=1,E793-SUMIFS($G$2:$G$1001,$B$2:$B$1001,B793,$C$2:$C$1001,C793,$D$2:$D$1001,D793),0))</x:f>
      </x:c>
    </x:row>
    <x:row r="794" ht="24" customHeight="1">
      <x:c r="A794" s="34"/>
      <x:c r="B794" s="34"/>
      <x:c r="C794" s="34"/>
      <x:c r="D794" s="34"/>
      <x:c r="E794" s="35"/>
      <x:c r="F794" s="35"/>
      <x:c r="G794" s="35"/>
      <x:c r="H794" s="35" t="str">
        <x:f>IF(B794="","",IF(COUNTIFS($B$2:B794,B794,$C$2:C794,C794,$D$2:D794,D794)=1,E794-SUMIFS($G$2:$G$1001,$B$2:$B$1001,B794,$C$2:$C$1001,C794,$D$2:$D$1001,D794),0))</x:f>
      </x:c>
    </x:row>
    <x:row r="795" ht="24" customHeight="1">
      <x:c r="A795" s="34"/>
      <x:c r="B795" s="34"/>
      <x:c r="C795" s="34"/>
      <x:c r="D795" s="34"/>
      <x:c r="E795" s="35"/>
      <x:c r="F795" s="35"/>
      <x:c r="G795" s="35"/>
      <x:c r="H795" s="35" t="str">
        <x:f>IF(B795="","",IF(COUNTIFS($B$2:B795,B795,$C$2:C795,C795,$D$2:D795,D795)=1,E795-SUMIFS($G$2:$G$1001,$B$2:$B$1001,B795,$C$2:$C$1001,C795,$D$2:$D$1001,D795),0))</x:f>
      </x:c>
    </x:row>
    <x:row r="796" ht="24" customHeight="1">
      <x:c r="A796" s="34"/>
      <x:c r="B796" s="34"/>
      <x:c r="C796" s="34"/>
      <x:c r="D796" s="34"/>
      <x:c r="E796" s="35"/>
      <x:c r="F796" s="35"/>
      <x:c r="G796" s="35"/>
      <x:c r="H796" s="35" t="str">
        <x:f>IF(B796="","",IF(COUNTIFS($B$2:B796,B796,$C$2:C796,C796,$D$2:D796,D796)=1,E796-SUMIFS($G$2:$G$1001,$B$2:$B$1001,B796,$C$2:$C$1001,C796,$D$2:$D$1001,D796),0))</x:f>
      </x:c>
    </x:row>
    <x:row r="797" ht="24" customHeight="1">
      <x:c r="A797" s="34"/>
      <x:c r="B797" s="34"/>
      <x:c r="C797" s="34"/>
      <x:c r="D797" s="34"/>
      <x:c r="E797" s="35"/>
      <x:c r="F797" s="35"/>
      <x:c r="G797" s="35"/>
      <x:c r="H797" s="35" t="str">
        <x:f>IF(B797="","",IF(COUNTIFS($B$2:B797,B797,$C$2:C797,C797,$D$2:D797,D797)=1,E797-SUMIFS($G$2:$G$1001,$B$2:$B$1001,B797,$C$2:$C$1001,C797,$D$2:$D$1001,D797),0))</x:f>
      </x:c>
    </x:row>
    <x:row r="798" ht="24" customHeight="1">
      <x:c r="A798" s="34"/>
      <x:c r="B798" s="34"/>
      <x:c r="C798" s="34"/>
      <x:c r="D798" s="34"/>
      <x:c r="E798" s="35"/>
      <x:c r="F798" s="35"/>
      <x:c r="G798" s="35"/>
      <x:c r="H798" s="35" t="str">
        <x:f>IF(B798="","",IF(COUNTIFS($B$2:B798,B798,$C$2:C798,C798,$D$2:D798,D798)=1,E798-SUMIFS($G$2:$G$1001,$B$2:$B$1001,B798,$C$2:$C$1001,C798,$D$2:$D$1001,D798),0))</x:f>
      </x:c>
    </x:row>
    <x:row r="799" ht="24" customHeight="1">
      <x:c r="A799" s="34"/>
      <x:c r="B799" s="34"/>
      <x:c r="C799" s="34"/>
      <x:c r="D799" s="34"/>
      <x:c r="E799" s="35"/>
      <x:c r="F799" s="35"/>
      <x:c r="G799" s="35"/>
      <x:c r="H799" s="35" t="str">
        <x:f>IF(B799="","",IF(COUNTIFS($B$2:B799,B799,$C$2:C799,C799,$D$2:D799,D799)=1,E799-SUMIFS($G$2:$G$1001,$B$2:$B$1001,B799,$C$2:$C$1001,C799,$D$2:$D$1001,D799),0))</x:f>
      </x:c>
    </x:row>
    <x:row r="800" ht="24" customHeight="1">
      <x:c r="A800" s="34"/>
      <x:c r="B800" s="34"/>
      <x:c r="C800" s="34"/>
      <x:c r="D800" s="34"/>
      <x:c r="E800" s="35"/>
      <x:c r="F800" s="35"/>
      <x:c r="G800" s="35"/>
      <x:c r="H800" s="35" t="str">
        <x:f>IF(B800="","",IF(COUNTIFS($B$2:B800,B800,$C$2:C800,C800,$D$2:D800,D800)=1,E800-SUMIFS($G$2:$G$1001,$B$2:$B$1001,B800,$C$2:$C$1001,C800,$D$2:$D$1001,D800),0))</x:f>
      </x:c>
    </x:row>
    <x:row r="801" ht="24" customHeight="1">
      <x:c r="A801" s="34"/>
      <x:c r="B801" s="34"/>
      <x:c r="C801" s="34"/>
      <x:c r="D801" s="34"/>
      <x:c r="E801" s="35"/>
      <x:c r="F801" s="35"/>
      <x:c r="G801" s="35"/>
      <x:c r="H801" s="35" t="str">
        <x:f>IF(B801="","",IF(COUNTIFS($B$2:B801,B801,$C$2:C801,C801,$D$2:D801,D801)=1,E801-SUMIFS($G$2:$G$1001,$B$2:$B$1001,B801,$C$2:$C$1001,C801,$D$2:$D$1001,D801),0))</x:f>
      </x:c>
    </x:row>
    <x:row r="802" ht="24" customHeight="1">
      <x:c r="A802" s="34"/>
      <x:c r="B802" s="34"/>
      <x:c r="C802" s="34"/>
      <x:c r="D802" s="34"/>
      <x:c r="E802" s="35"/>
      <x:c r="F802" s="35"/>
      <x:c r="G802" s="35"/>
      <x:c r="H802" s="35" t="str">
        <x:f>IF(B802="","",IF(COUNTIFS($B$2:B802,B802,$C$2:C802,C802,$D$2:D802,D802)=1,E802-SUMIFS($G$2:$G$1001,$B$2:$B$1001,B802,$C$2:$C$1001,C802,$D$2:$D$1001,D802),0))</x:f>
      </x:c>
    </x:row>
    <x:row r="803" ht="24" customHeight="1">
      <x:c r="A803" s="34"/>
      <x:c r="B803" s="34"/>
      <x:c r="C803" s="34"/>
      <x:c r="D803" s="34"/>
      <x:c r="E803" s="35"/>
      <x:c r="F803" s="35"/>
      <x:c r="G803" s="35"/>
      <x:c r="H803" s="35" t="str">
        <x:f>IF(B803="","",IF(COUNTIFS($B$2:B803,B803,$C$2:C803,C803,$D$2:D803,D803)=1,E803-SUMIFS($G$2:$G$1001,$B$2:$B$1001,B803,$C$2:$C$1001,C803,$D$2:$D$1001,D803),0))</x:f>
      </x:c>
    </x:row>
    <x:row r="804" ht="24" customHeight="1">
      <x:c r="A804" s="34"/>
      <x:c r="B804" s="34"/>
      <x:c r="C804" s="34"/>
      <x:c r="D804" s="34"/>
      <x:c r="E804" s="35"/>
      <x:c r="F804" s="35"/>
      <x:c r="G804" s="35"/>
      <x:c r="H804" s="35" t="str">
        <x:f>IF(B804="","",IF(COUNTIFS($B$2:B804,B804,$C$2:C804,C804,$D$2:D804,D804)=1,E804-SUMIFS($G$2:$G$1001,$B$2:$B$1001,B804,$C$2:$C$1001,C804,$D$2:$D$1001,D804),0))</x:f>
      </x:c>
    </x:row>
    <x:row r="805" ht="24" customHeight="1">
      <x:c r="A805" s="34"/>
      <x:c r="B805" s="34"/>
      <x:c r="C805" s="34"/>
      <x:c r="D805" s="34"/>
      <x:c r="E805" s="35"/>
      <x:c r="F805" s="35"/>
      <x:c r="G805" s="35"/>
      <x:c r="H805" s="35" t="str">
        <x:f>IF(B805="","",IF(COUNTIFS($B$2:B805,B805,$C$2:C805,C805,$D$2:D805,D805)=1,E805-SUMIFS($G$2:$G$1001,$B$2:$B$1001,B805,$C$2:$C$1001,C805,$D$2:$D$1001,D805),0))</x:f>
      </x:c>
    </x:row>
    <x:row r="806" ht="24" customHeight="1">
      <x:c r="A806" s="34"/>
      <x:c r="B806" s="34"/>
      <x:c r="C806" s="34"/>
      <x:c r="D806" s="34"/>
      <x:c r="E806" s="35"/>
      <x:c r="F806" s="35"/>
      <x:c r="G806" s="35"/>
      <x:c r="H806" s="35" t="str">
        <x:f>IF(B806="","",IF(COUNTIFS($B$2:B806,B806,$C$2:C806,C806,$D$2:D806,D806)=1,E806-SUMIFS($G$2:$G$1001,$B$2:$B$1001,B806,$C$2:$C$1001,C806,$D$2:$D$1001,D806),0))</x:f>
      </x:c>
    </x:row>
    <x:row r="807" ht="24" customHeight="1">
      <x:c r="A807" s="34"/>
      <x:c r="B807" s="34"/>
      <x:c r="C807" s="34"/>
      <x:c r="D807" s="34"/>
      <x:c r="E807" s="35"/>
      <x:c r="F807" s="35"/>
      <x:c r="G807" s="35"/>
      <x:c r="H807" s="35" t="str">
        <x:f>IF(B807="","",IF(COUNTIFS($B$2:B807,B807,$C$2:C807,C807,$D$2:D807,D807)=1,E807-SUMIFS($G$2:$G$1001,$B$2:$B$1001,B807,$C$2:$C$1001,C807,$D$2:$D$1001,D807),0))</x:f>
      </x:c>
    </x:row>
    <x:row r="808" ht="24" customHeight="1">
      <x:c r="A808" s="34"/>
      <x:c r="B808" s="34"/>
      <x:c r="C808" s="34"/>
      <x:c r="D808" s="34"/>
      <x:c r="E808" s="35"/>
      <x:c r="F808" s="35"/>
      <x:c r="G808" s="35"/>
      <x:c r="H808" s="35" t="str">
        <x:f>IF(B808="","",IF(COUNTIFS($B$2:B808,B808,$C$2:C808,C808,$D$2:D808,D808)=1,E808-SUMIFS($G$2:$G$1001,$B$2:$B$1001,B808,$C$2:$C$1001,C808,$D$2:$D$1001,D808),0))</x:f>
      </x:c>
    </x:row>
    <x:row r="809" ht="24" customHeight="1">
      <x:c r="A809" s="34"/>
      <x:c r="B809" s="34"/>
      <x:c r="C809" s="34"/>
      <x:c r="D809" s="34"/>
      <x:c r="E809" s="35"/>
      <x:c r="F809" s="35"/>
      <x:c r="G809" s="35"/>
      <x:c r="H809" s="35" t="str">
        <x:f>IF(B809="","",IF(COUNTIFS($B$2:B809,B809,$C$2:C809,C809,$D$2:D809,D809)=1,E809-SUMIFS($G$2:$G$1001,$B$2:$B$1001,B809,$C$2:$C$1001,C809,$D$2:$D$1001,D809),0))</x:f>
      </x:c>
    </x:row>
    <x:row r="810" ht="24" customHeight="1">
      <x:c r="A810" s="34"/>
      <x:c r="B810" s="34"/>
      <x:c r="C810" s="34"/>
      <x:c r="D810" s="34"/>
      <x:c r="E810" s="35"/>
      <x:c r="F810" s="35"/>
      <x:c r="G810" s="35"/>
      <x:c r="H810" s="35" t="str">
        <x:f>IF(B810="","",IF(COUNTIFS($B$2:B810,B810,$C$2:C810,C810,$D$2:D810,D810)=1,E810-SUMIFS($G$2:$G$1001,$B$2:$B$1001,B810,$C$2:$C$1001,C810,$D$2:$D$1001,D810),0))</x:f>
      </x:c>
    </x:row>
    <x:row r="811" ht="24" customHeight="1">
      <x:c r="A811" s="34"/>
      <x:c r="B811" s="34"/>
      <x:c r="C811" s="34"/>
      <x:c r="D811" s="34"/>
      <x:c r="E811" s="35"/>
      <x:c r="F811" s="35"/>
      <x:c r="G811" s="35"/>
      <x:c r="H811" s="35" t="str">
        <x:f>IF(B811="","",IF(COUNTIFS($B$2:B811,B811,$C$2:C811,C811,$D$2:D811,D811)=1,E811-SUMIFS($G$2:$G$1001,$B$2:$B$1001,B811,$C$2:$C$1001,C811,$D$2:$D$1001,D811),0))</x:f>
      </x:c>
    </x:row>
    <x:row r="812" ht="24" customHeight="1">
      <x:c r="A812" s="34"/>
      <x:c r="B812" s="34"/>
      <x:c r="C812" s="34"/>
      <x:c r="D812" s="34"/>
      <x:c r="E812" s="35"/>
      <x:c r="F812" s="35"/>
      <x:c r="G812" s="35"/>
      <x:c r="H812" s="35" t="str">
        <x:f>IF(B812="","",IF(COUNTIFS($B$2:B812,B812,$C$2:C812,C812,$D$2:D812,D812)=1,E812-SUMIFS($G$2:$G$1001,$B$2:$B$1001,B812,$C$2:$C$1001,C812,$D$2:$D$1001,D812),0))</x:f>
      </x:c>
    </x:row>
    <x:row r="813" ht="24" customHeight="1">
      <x:c r="A813" s="34"/>
      <x:c r="B813" s="34"/>
      <x:c r="C813" s="34"/>
      <x:c r="D813" s="34"/>
      <x:c r="E813" s="35"/>
      <x:c r="F813" s="35"/>
      <x:c r="G813" s="35"/>
      <x:c r="H813" s="35" t="str">
        <x:f>IF(B813="","",IF(COUNTIFS($B$2:B813,B813,$C$2:C813,C813,$D$2:D813,D813)=1,E813-SUMIFS($G$2:$G$1001,$B$2:$B$1001,B813,$C$2:$C$1001,C813,$D$2:$D$1001,D813),0))</x:f>
      </x:c>
    </x:row>
    <x:row r="814" ht="24" customHeight="1">
      <x:c r="A814" s="34"/>
      <x:c r="B814" s="34"/>
      <x:c r="C814" s="34"/>
      <x:c r="D814" s="34"/>
      <x:c r="E814" s="35"/>
      <x:c r="F814" s="35"/>
      <x:c r="G814" s="35"/>
      <x:c r="H814" s="35" t="str">
        <x:f>IF(B814="","",IF(COUNTIFS($B$2:B814,B814,$C$2:C814,C814,$D$2:D814,D814)=1,E814-SUMIFS($G$2:$G$1001,$B$2:$B$1001,B814,$C$2:$C$1001,C814,$D$2:$D$1001,D814),0))</x:f>
      </x:c>
    </x:row>
    <x:row r="815" ht="24" customHeight="1">
      <x:c r="A815" s="34"/>
      <x:c r="B815" s="34"/>
      <x:c r="C815" s="34"/>
      <x:c r="D815" s="34"/>
      <x:c r="E815" s="35"/>
      <x:c r="F815" s="35"/>
      <x:c r="G815" s="35"/>
      <x:c r="H815" s="35" t="str">
        <x:f>IF(B815="","",IF(COUNTIFS($B$2:B815,B815,$C$2:C815,C815,$D$2:D815,D815)=1,E815-SUMIFS($G$2:$G$1001,$B$2:$B$1001,B815,$C$2:$C$1001,C815,$D$2:$D$1001,D815),0))</x:f>
      </x:c>
    </x:row>
    <x:row r="816" ht="24" customHeight="1">
      <x:c r="A816" s="34"/>
      <x:c r="B816" s="34"/>
      <x:c r="C816" s="34"/>
      <x:c r="D816" s="34"/>
      <x:c r="E816" s="35"/>
      <x:c r="F816" s="35"/>
      <x:c r="G816" s="35"/>
      <x:c r="H816" s="35" t="str">
        <x:f>IF(B816="","",IF(COUNTIFS($B$2:B816,B816,$C$2:C816,C816,$D$2:D816,D816)=1,E816-SUMIFS($G$2:$G$1001,$B$2:$B$1001,B816,$C$2:$C$1001,C816,$D$2:$D$1001,D816),0))</x:f>
      </x:c>
    </x:row>
    <x:row r="817" ht="24" customHeight="1">
      <x:c r="A817" s="34"/>
      <x:c r="B817" s="34"/>
      <x:c r="C817" s="34"/>
      <x:c r="D817" s="34"/>
      <x:c r="E817" s="35"/>
      <x:c r="F817" s="35"/>
      <x:c r="G817" s="35"/>
      <x:c r="H817" s="35" t="str">
        <x:f>IF(B817="","",IF(COUNTIFS($B$2:B817,B817,$C$2:C817,C817,$D$2:D817,D817)=1,E817-SUMIFS($G$2:$G$1001,$B$2:$B$1001,B817,$C$2:$C$1001,C817,$D$2:$D$1001,D817),0))</x:f>
      </x:c>
    </x:row>
    <x:row r="818" ht="24" customHeight="1">
      <x:c r="A818" s="34"/>
      <x:c r="B818" s="34"/>
      <x:c r="C818" s="34"/>
      <x:c r="D818" s="34"/>
      <x:c r="E818" s="35"/>
      <x:c r="F818" s="35"/>
      <x:c r="G818" s="35"/>
      <x:c r="H818" s="35" t="str">
        <x:f>IF(B818="","",IF(COUNTIFS($B$2:B818,B818,$C$2:C818,C818,$D$2:D818,D818)=1,E818-SUMIFS($G$2:$G$1001,$B$2:$B$1001,B818,$C$2:$C$1001,C818,$D$2:$D$1001,D818),0))</x:f>
      </x:c>
    </x:row>
    <x:row r="819" ht="24" customHeight="1">
      <x:c r="A819" s="34"/>
      <x:c r="B819" s="34"/>
      <x:c r="C819" s="34"/>
      <x:c r="D819" s="34"/>
      <x:c r="E819" s="35"/>
      <x:c r="F819" s="35"/>
      <x:c r="G819" s="35"/>
      <x:c r="H819" s="35" t="str">
        <x:f>IF(B819="","",IF(COUNTIFS($B$2:B819,B819,$C$2:C819,C819,$D$2:D819,D819)=1,E819-SUMIFS($G$2:$G$1001,$B$2:$B$1001,B819,$C$2:$C$1001,C819,$D$2:$D$1001,D819),0))</x:f>
      </x:c>
    </x:row>
    <x:row r="820" ht="24" customHeight="1">
      <x:c r="A820" s="34"/>
      <x:c r="B820" s="34"/>
      <x:c r="C820" s="34"/>
      <x:c r="D820" s="34"/>
      <x:c r="E820" s="35"/>
      <x:c r="F820" s="35"/>
      <x:c r="G820" s="35"/>
      <x:c r="H820" s="35" t="str">
        <x:f>IF(B820="","",IF(COUNTIFS($B$2:B820,B820,$C$2:C820,C820,$D$2:D820,D820)=1,E820-SUMIFS($G$2:$G$1001,$B$2:$B$1001,B820,$C$2:$C$1001,C820,$D$2:$D$1001,D820),0))</x:f>
      </x:c>
    </x:row>
    <x:row r="821" ht="24" customHeight="1">
      <x:c r="A821" s="34"/>
      <x:c r="B821" s="34"/>
      <x:c r="C821" s="34"/>
      <x:c r="D821" s="34"/>
      <x:c r="E821" s="35"/>
      <x:c r="F821" s="35"/>
      <x:c r="G821" s="35"/>
      <x:c r="H821" s="35" t="str">
        <x:f>IF(B821="","",IF(COUNTIFS($B$2:B821,B821,$C$2:C821,C821,$D$2:D821,D821)=1,E821-SUMIFS($G$2:$G$1001,$B$2:$B$1001,B821,$C$2:$C$1001,C821,$D$2:$D$1001,D821),0))</x:f>
      </x:c>
    </x:row>
    <x:row r="822" ht="24" customHeight="1">
      <x:c r="A822" s="34"/>
      <x:c r="B822" s="34"/>
      <x:c r="C822" s="34"/>
      <x:c r="D822" s="34"/>
      <x:c r="E822" s="35"/>
      <x:c r="F822" s="35"/>
      <x:c r="G822" s="35"/>
      <x:c r="H822" s="35" t="str">
        <x:f>IF(B822="","",IF(COUNTIFS($B$2:B822,B822,$C$2:C822,C822,$D$2:D822,D822)=1,E822-SUMIFS($G$2:$G$1001,$B$2:$B$1001,B822,$C$2:$C$1001,C822,$D$2:$D$1001,D822),0))</x:f>
      </x:c>
    </x:row>
    <x:row r="823" ht="24" customHeight="1">
      <x:c r="A823" s="34"/>
      <x:c r="B823" s="34"/>
      <x:c r="C823" s="34"/>
      <x:c r="D823" s="34"/>
      <x:c r="E823" s="35"/>
      <x:c r="F823" s="35"/>
      <x:c r="G823" s="35"/>
      <x:c r="H823" s="35" t="str">
        <x:f>IF(B823="","",IF(COUNTIFS($B$2:B823,B823,$C$2:C823,C823,$D$2:D823,D823)=1,E823-SUMIFS($G$2:$G$1001,$B$2:$B$1001,B823,$C$2:$C$1001,C823,$D$2:$D$1001,D823),0))</x:f>
      </x:c>
    </x:row>
    <x:row r="824" ht="24" customHeight="1">
      <x:c r="A824" s="34"/>
      <x:c r="B824" s="34"/>
      <x:c r="C824" s="34"/>
      <x:c r="D824" s="34"/>
      <x:c r="E824" s="35"/>
      <x:c r="F824" s="35"/>
      <x:c r="G824" s="35"/>
      <x:c r="H824" s="35" t="str">
        <x:f>IF(B824="","",IF(COUNTIFS($B$2:B824,B824,$C$2:C824,C824,$D$2:D824,D824)=1,E824-SUMIFS($G$2:$G$1001,$B$2:$B$1001,B824,$C$2:$C$1001,C824,$D$2:$D$1001,D824),0))</x:f>
      </x:c>
    </x:row>
    <x:row r="825" ht="24" customHeight="1">
      <x:c r="A825" s="34"/>
      <x:c r="B825" s="34"/>
      <x:c r="C825" s="34"/>
      <x:c r="D825" s="34"/>
      <x:c r="E825" s="35"/>
      <x:c r="F825" s="35"/>
      <x:c r="G825" s="35"/>
      <x:c r="H825" s="35" t="str">
        <x:f>IF(B825="","",IF(COUNTIFS($B$2:B825,B825,$C$2:C825,C825,$D$2:D825,D825)=1,E825-SUMIFS($G$2:$G$1001,$B$2:$B$1001,B825,$C$2:$C$1001,C825,$D$2:$D$1001,D825),0))</x:f>
      </x:c>
    </x:row>
    <x:row r="826" ht="24" customHeight="1">
      <x:c r="A826" s="34"/>
      <x:c r="B826" s="34"/>
      <x:c r="C826" s="34"/>
      <x:c r="D826" s="34"/>
      <x:c r="E826" s="35"/>
      <x:c r="F826" s="35"/>
      <x:c r="G826" s="35"/>
      <x:c r="H826" s="35" t="str">
        <x:f>IF(B826="","",IF(COUNTIFS($B$2:B826,B826,$C$2:C826,C826,$D$2:D826,D826)=1,E826-SUMIFS($G$2:$G$1001,$B$2:$B$1001,B826,$C$2:$C$1001,C826,$D$2:$D$1001,D826),0))</x:f>
      </x:c>
    </x:row>
    <x:row r="827" ht="24" customHeight="1">
      <x:c r="A827" s="34"/>
      <x:c r="B827" s="34"/>
      <x:c r="C827" s="34"/>
      <x:c r="D827" s="34"/>
      <x:c r="E827" s="35"/>
      <x:c r="F827" s="35"/>
      <x:c r="G827" s="35"/>
      <x:c r="H827" s="35" t="str">
        <x:f>IF(B827="","",IF(COUNTIFS($B$2:B827,B827,$C$2:C827,C827,$D$2:D827,D827)=1,E827-SUMIFS($G$2:$G$1001,$B$2:$B$1001,B827,$C$2:$C$1001,C827,$D$2:$D$1001,D827),0))</x:f>
      </x:c>
    </x:row>
    <x:row r="828" ht="24" customHeight="1">
      <x:c r="A828" s="34"/>
      <x:c r="B828" s="34"/>
      <x:c r="C828" s="34"/>
      <x:c r="D828" s="34"/>
      <x:c r="E828" s="35"/>
      <x:c r="F828" s="35"/>
      <x:c r="G828" s="35"/>
      <x:c r="H828" s="35" t="str">
        <x:f>IF(B828="","",IF(COUNTIFS($B$2:B828,B828,$C$2:C828,C828,$D$2:D828,D828)=1,E828-SUMIFS($G$2:$G$1001,$B$2:$B$1001,B828,$C$2:$C$1001,C828,$D$2:$D$1001,D828),0))</x:f>
      </x:c>
    </x:row>
    <x:row r="829" ht="24" customHeight="1">
      <x:c r="A829" s="34"/>
      <x:c r="B829" s="34"/>
      <x:c r="C829" s="34"/>
      <x:c r="D829" s="34"/>
      <x:c r="E829" s="35"/>
      <x:c r="F829" s="35"/>
      <x:c r="G829" s="35"/>
      <x:c r="H829" s="35" t="str">
        <x:f>IF(B829="","",IF(COUNTIFS($B$2:B829,B829,$C$2:C829,C829,$D$2:D829,D829)=1,E829-SUMIFS($G$2:$G$1001,$B$2:$B$1001,B829,$C$2:$C$1001,C829,$D$2:$D$1001,D829),0))</x:f>
      </x:c>
    </x:row>
    <x:row r="830" ht="24" customHeight="1">
      <x:c r="A830" s="34"/>
      <x:c r="B830" s="34"/>
      <x:c r="C830" s="34"/>
      <x:c r="D830" s="34"/>
      <x:c r="E830" s="35"/>
      <x:c r="F830" s="35"/>
      <x:c r="G830" s="35"/>
      <x:c r="H830" s="35" t="str">
        <x:f>IF(B830="","",IF(COUNTIFS($B$2:B830,B830,$C$2:C830,C830,$D$2:D830,D830)=1,E830-SUMIFS($G$2:$G$1001,$B$2:$B$1001,B830,$C$2:$C$1001,C830,$D$2:$D$1001,D830),0))</x:f>
      </x:c>
    </x:row>
    <x:row r="831" ht="24" customHeight="1">
      <x:c r="A831" s="34"/>
      <x:c r="B831" s="34"/>
      <x:c r="C831" s="34"/>
      <x:c r="D831" s="34"/>
      <x:c r="E831" s="35"/>
      <x:c r="F831" s="35"/>
      <x:c r="G831" s="35"/>
      <x:c r="H831" s="35" t="str">
        <x:f>IF(B831="","",IF(COUNTIFS($B$2:B831,B831,$C$2:C831,C831,$D$2:D831,D831)=1,E831-SUMIFS($G$2:$G$1001,$B$2:$B$1001,B831,$C$2:$C$1001,C831,$D$2:$D$1001,D831),0))</x:f>
      </x:c>
    </x:row>
    <x:row r="832" ht="24" customHeight="1">
      <x:c r="A832" s="34"/>
      <x:c r="B832" s="34"/>
      <x:c r="C832" s="34"/>
      <x:c r="D832" s="34"/>
      <x:c r="E832" s="35"/>
      <x:c r="F832" s="35"/>
      <x:c r="G832" s="35"/>
      <x:c r="H832" s="35" t="str">
        <x:f>IF(B832="","",IF(COUNTIFS($B$2:B832,B832,$C$2:C832,C832,$D$2:D832,D832)=1,E832-SUMIFS($G$2:$G$1001,$B$2:$B$1001,B832,$C$2:$C$1001,C832,$D$2:$D$1001,D832),0))</x:f>
      </x:c>
    </x:row>
    <x:row r="833" ht="24" customHeight="1">
      <x:c r="A833" s="34"/>
      <x:c r="B833" s="34"/>
      <x:c r="C833" s="34"/>
      <x:c r="D833" s="34"/>
      <x:c r="E833" s="35"/>
      <x:c r="F833" s="35"/>
      <x:c r="G833" s="35"/>
      <x:c r="H833" s="35" t="str">
        <x:f>IF(B833="","",IF(COUNTIFS($B$2:B833,B833,$C$2:C833,C833,$D$2:D833,D833)=1,E833-SUMIFS($G$2:$G$1001,$B$2:$B$1001,B833,$C$2:$C$1001,C833,$D$2:$D$1001,D833),0))</x:f>
      </x:c>
    </x:row>
    <x:row r="834" ht="24" customHeight="1">
      <x:c r="A834" s="34"/>
      <x:c r="B834" s="34"/>
      <x:c r="C834" s="34"/>
      <x:c r="D834" s="34"/>
      <x:c r="E834" s="35"/>
      <x:c r="F834" s="35"/>
      <x:c r="G834" s="35"/>
      <x:c r="H834" s="35" t="str">
        <x:f>IF(B834="","",IF(COUNTIFS($B$2:B834,B834,$C$2:C834,C834,$D$2:D834,D834)=1,E834-SUMIFS($G$2:$G$1001,$B$2:$B$1001,B834,$C$2:$C$1001,C834,$D$2:$D$1001,D834),0))</x:f>
      </x:c>
    </x:row>
    <x:row r="835" ht="24" customHeight="1">
      <x:c r="A835" s="34"/>
      <x:c r="B835" s="34"/>
      <x:c r="C835" s="34"/>
      <x:c r="D835" s="34"/>
      <x:c r="E835" s="35"/>
      <x:c r="F835" s="35"/>
      <x:c r="G835" s="35"/>
      <x:c r="H835" s="35" t="str">
        <x:f>IF(B835="","",IF(COUNTIFS($B$2:B835,B835,$C$2:C835,C835,$D$2:D835,D835)=1,E835-SUMIFS($G$2:$G$1001,$B$2:$B$1001,B835,$C$2:$C$1001,C835,$D$2:$D$1001,D835),0))</x:f>
      </x:c>
    </x:row>
    <x:row r="836" ht="24" customHeight="1">
      <x:c r="A836" s="34"/>
      <x:c r="B836" s="34"/>
      <x:c r="C836" s="34"/>
      <x:c r="D836" s="34"/>
      <x:c r="E836" s="35"/>
      <x:c r="F836" s="35"/>
      <x:c r="G836" s="35"/>
      <x:c r="H836" s="35" t="str">
        <x:f>IF(B836="","",IF(COUNTIFS($B$2:B836,B836,$C$2:C836,C836,$D$2:D836,D836)=1,E836-SUMIFS($G$2:$G$1001,$B$2:$B$1001,B836,$C$2:$C$1001,C836,$D$2:$D$1001,D836),0))</x:f>
      </x:c>
    </x:row>
    <x:row r="837" ht="24" customHeight="1">
      <x:c r="A837" s="34"/>
      <x:c r="B837" s="34"/>
      <x:c r="C837" s="34"/>
      <x:c r="D837" s="34"/>
      <x:c r="E837" s="35"/>
      <x:c r="F837" s="35"/>
      <x:c r="G837" s="35"/>
      <x:c r="H837" s="35" t="str">
        <x:f>IF(B837="","",IF(COUNTIFS($B$2:B837,B837,$C$2:C837,C837,$D$2:D837,D837)=1,E837-SUMIFS($G$2:$G$1001,$B$2:$B$1001,B837,$C$2:$C$1001,C837,$D$2:$D$1001,D837),0))</x:f>
      </x:c>
    </x:row>
    <x:row r="838" ht="24" customHeight="1">
      <x:c r="A838" s="34"/>
      <x:c r="B838" s="34"/>
      <x:c r="C838" s="34"/>
      <x:c r="D838" s="34"/>
      <x:c r="E838" s="35"/>
      <x:c r="F838" s="35"/>
      <x:c r="G838" s="35"/>
      <x:c r="H838" s="35" t="str">
        <x:f>IF(B838="","",IF(COUNTIFS($B$2:B838,B838,$C$2:C838,C838,$D$2:D838,D838)=1,E838-SUMIFS($G$2:$G$1001,$B$2:$B$1001,B838,$C$2:$C$1001,C838,$D$2:$D$1001,D838),0))</x:f>
      </x:c>
    </x:row>
    <x:row r="839" ht="24" customHeight="1">
      <x:c r="A839" s="34"/>
      <x:c r="B839" s="34"/>
      <x:c r="C839" s="34"/>
      <x:c r="D839" s="34"/>
      <x:c r="E839" s="35"/>
      <x:c r="F839" s="35"/>
      <x:c r="G839" s="35"/>
      <x:c r="H839" s="35" t="str">
        <x:f>IF(B839="","",IF(COUNTIFS($B$2:B839,B839,$C$2:C839,C839,$D$2:D839,D839)=1,E839-SUMIFS($G$2:$G$1001,$B$2:$B$1001,B839,$C$2:$C$1001,C839,$D$2:$D$1001,D839),0))</x:f>
      </x:c>
    </x:row>
    <x:row r="840" ht="24" customHeight="1">
      <x:c r="A840" s="34"/>
      <x:c r="B840" s="34"/>
      <x:c r="C840" s="34"/>
      <x:c r="D840" s="34"/>
      <x:c r="E840" s="35"/>
      <x:c r="F840" s="35"/>
      <x:c r="G840" s="35"/>
      <x:c r="H840" s="35" t="str">
        <x:f>IF(B840="","",IF(COUNTIFS($B$2:B840,B840,$C$2:C840,C840,$D$2:D840,D840)=1,E840-SUMIFS($G$2:$G$1001,$B$2:$B$1001,B840,$C$2:$C$1001,C840,$D$2:$D$1001,D840),0))</x:f>
      </x:c>
    </x:row>
    <x:row r="841" ht="24" customHeight="1">
      <x:c r="A841" s="34"/>
      <x:c r="B841" s="34"/>
      <x:c r="C841" s="34"/>
      <x:c r="D841" s="34"/>
      <x:c r="E841" s="35"/>
      <x:c r="F841" s="35"/>
      <x:c r="G841" s="35"/>
      <x:c r="H841" s="35" t="str">
        <x:f>IF(B841="","",IF(COUNTIFS($B$2:B841,B841,$C$2:C841,C841,$D$2:D841,D841)=1,E841-SUMIFS($G$2:$G$1001,$B$2:$B$1001,B841,$C$2:$C$1001,C841,$D$2:$D$1001,D841),0))</x:f>
      </x:c>
    </x:row>
    <x:row r="842" ht="24" customHeight="1">
      <x:c r="A842" s="34"/>
      <x:c r="B842" s="34"/>
      <x:c r="C842" s="34"/>
      <x:c r="D842" s="34"/>
      <x:c r="E842" s="35"/>
      <x:c r="F842" s="35"/>
      <x:c r="G842" s="35"/>
      <x:c r="H842" s="35" t="str">
        <x:f>IF(B842="","",IF(COUNTIFS($B$2:B842,B842,$C$2:C842,C842,$D$2:D842,D842)=1,E842-SUMIFS($G$2:$G$1001,$B$2:$B$1001,B842,$C$2:$C$1001,C842,$D$2:$D$1001,D842),0))</x:f>
      </x:c>
    </x:row>
    <x:row r="843" ht="24" customHeight="1">
      <x:c r="A843" s="34"/>
      <x:c r="B843" s="34"/>
      <x:c r="C843" s="34"/>
      <x:c r="D843" s="34"/>
      <x:c r="E843" s="35"/>
      <x:c r="F843" s="35"/>
      <x:c r="G843" s="35"/>
      <x:c r="H843" s="35" t="str">
        <x:f>IF(B843="","",IF(COUNTIFS($B$2:B843,B843,$C$2:C843,C843,$D$2:D843,D843)=1,E843-SUMIFS($G$2:$G$1001,$B$2:$B$1001,B843,$C$2:$C$1001,C843,$D$2:$D$1001,D843),0))</x:f>
      </x:c>
    </x:row>
    <x:row r="844" ht="24" customHeight="1">
      <x:c r="A844" s="34"/>
      <x:c r="B844" s="34"/>
      <x:c r="C844" s="34"/>
      <x:c r="D844" s="34"/>
      <x:c r="E844" s="35"/>
      <x:c r="F844" s="35"/>
      <x:c r="G844" s="35"/>
      <x:c r="H844" s="35" t="str">
        <x:f>IF(B844="","",IF(COUNTIFS($B$2:B844,B844,$C$2:C844,C844,$D$2:D844,D844)=1,E844-SUMIFS($G$2:$G$1001,$B$2:$B$1001,B844,$C$2:$C$1001,C844,$D$2:$D$1001,D844),0))</x:f>
      </x:c>
    </x:row>
    <x:row r="845" ht="24" customHeight="1">
      <x:c r="A845" s="34"/>
      <x:c r="B845" s="34"/>
      <x:c r="C845" s="34"/>
      <x:c r="D845" s="34"/>
      <x:c r="E845" s="35"/>
      <x:c r="F845" s="35"/>
      <x:c r="G845" s="35"/>
      <x:c r="H845" s="35" t="str">
        <x:f>IF(B845="","",IF(COUNTIFS($B$2:B845,B845,$C$2:C845,C845,$D$2:D845,D845)=1,E845-SUMIFS($G$2:$G$1001,$B$2:$B$1001,B845,$C$2:$C$1001,C845,$D$2:$D$1001,D845),0))</x:f>
      </x:c>
    </x:row>
    <x:row r="846" ht="24" customHeight="1">
      <x:c r="A846" s="34"/>
      <x:c r="B846" s="34"/>
      <x:c r="C846" s="34"/>
      <x:c r="D846" s="34"/>
      <x:c r="E846" s="35"/>
      <x:c r="F846" s="35"/>
      <x:c r="G846" s="35"/>
      <x:c r="H846" s="35" t="str">
        <x:f>IF(B846="","",IF(COUNTIFS($B$2:B846,B846,$C$2:C846,C846,$D$2:D846,D846)=1,E846-SUMIFS($G$2:$G$1001,$B$2:$B$1001,B846,$C$2:$C$1001,C846,$D$2:$D$1001,D846),0))</x:f>
      </x:c>
    </x:row>
    <x:row r="847" ht="24" customHeight="1">
      <x:c r="A847" s="34"/>
      <x:c r="B847" s="34"/>
      <x:c r="C847" s="34"/>
      <x:c r="D847" s="34"/>
      <x:c r="E847" s="35"/>
      <x:c r="F847" s="35"/>
      <x:c r="G847" s="35"/>
      <x:c r="H847" s="35" t="str">
        <x:f>IF(B847="","",IF(COUNTIFS($B$2:B847,B847,$C$2:C847,C847,$D$2:D847,D847)=1,E847-SUMIFS($G$2:$G$1001,$B$2:$B$1001,B847,$C$2:$C$1001,C847,$D$2:$D$1001,D847),0))</x:f>
      </x:c>
    </x:row>
    <x:row r="848" ht="24" customHeight="1">
      <x:c r="A848" s="34"/>
      <x:c r="B848" s="34"/>
      <x:c r="C848" s="34"/>
      <x:c r="D848" s="34"/>
      <x:c r="E848" s="35"/>
      <x:c r="F848" s="35"/>
      <x:c r="G848" s="35"/>
      <x:c r="H848" s="35" t="str">
        <x:f>IF(B848="","",IF(COUNTIFS($B$2:B848,B848,$C$2:C848,C848,$D$2:D848,D848)=1,E848-SUMIFS($G$2:$G$1001,$B$2:$B$1001,B848,$C$2:$C$1001,C848,$D$2:$D$1001,D848),0))</x:f>
      </x:c>
    </x:row>
    <x:row r="849" ht="24" customHeight="1">
      <x:c r="A849" s="34"/>
      <x:c r="B849" s="34"/>
      <x:c r="C849" s="34"/>
      <x:c r="D849" s="34"/>
      <x:c r="E849" s="35"/>
      <x:c r="F849" s="35"/>
      <x:c r="G849" s="35"/>
      <x:c r="H849" s="35" t="str">
        <x:f>IF(B849="","",IF(COUNTIFS($B$2:B849,B849,$C$2:C849,C849,$D$2:D849,D849)=1,E849-SUMIFS($G$2:$G$1001,$B$2:$B$1001,B849,$C$2:$C$1001,C849,$D$2:$D$1001,D849),0))</x:f>
      </x:c>
    </x:row>
    <x:row r="850" ht="24" customHeight="1">
      <x:c r="A850" s="34"/>
      <x:c r="B850" s="34"/>
      <x:c r="C850" s="34"/>
      <x:c r="D850" s="34"/>
      <x:c r="E850" s="35"/>
      <x:c r="F850" s="35"/>
      <x:c r="G850" s="35"/>
      <x:c r="H850" s="35" t="str">
        <x:f>IF(B850="","",IF(COUNTIFS($B$2:B850,B850,$C$2:C850,C850,$D$2:D850,D850)=1,E850-SUMIFS($G$2:$G$1001,$B$2:$B$1001,B850,$C$2:$C$1001,C850,$D$2:$D$1001,D850),0))</x:f>
      </x:c>
    </x:row>
    <x:row r="851" ht="24" customHeight="1">
      <x:c r="A851" s="34"/>
      <x:c r="B851" s="34"/>
      <x:c r="C851" s="34"/>
      <x:c r="D851" s="34"/>
      <x:c r="E851" s="35"/>
      <x:c r="F851" s="35"/>
      <x:c r="G851" s="35"/>
      <x:c r="H851" s="35" t="str">
        <x:f>IF(B851="","",IF(COUNTIFS($B$2:B851,B851,$C$2:C851,C851,$D$2:D851,D851)=1,E851-SUMIFS($G$2:$G$1001,$B$2:$B$1001,B851,$C$2:$C$1001,C851,$D$2:$D$1001,D851),0))</x:f>
      </x:c>
    </x:row>
    <x:row r="852" ht="24" customHeight="1">
      <x:c r="A852" s="34"/>
      <x:c r="B852" s="34"/>
      <x:c r="C852" s="34"/>
      <x:c r="D852" s="34"/>
      <x:c r="E852" s="35"/>
      <x:c r="F852" s="35"/>
      <x:c r="G852" s="35"/>
      <x:c r="H852" s="35" t="str">
        <x:f>IF(B852="","",IF(COUNTIFS($B$2:B852,B852,$C$2:C852,C852,$D$2:D852,D852)=1,E852-SUMIFS($G$2:$G$1001,$B$2:$B$1001,B852,$C$2:$C$1001,C852,$D$2:$D$1001,D852),0))</x:f>
      </x:c>
    </x:row>
    <x:row r="853" ht="24" customHeight="1">
      <x:c r="A853" s="34"/>
      <x:c r="B853" s="34"/>
      <x:c r="C853" s="34"/>
      <x:c r="D853" s="34"/>
      <x:c r="E853" s="35"/>
      <x:c r="F853" s="35"/>
      <x:c r="G853" s="35"/>
      <x:c r="H853" s="35" t="str">
        <x:f>IF(B853="","",IF(COUNTIFS($B$2:B853,B853,$C$2:C853,C853,$D$2:D853,D853)=1,E853-SUMIFS($G$2:$G$1001,$B$2:$B$1001,B853,$C$2:$C$1001,C853,$D$2:$D$1001,D853),0))</x:f>
      </x:c>
    </x:row>
    <x:row r="854" ht="24" customHeight="1">
      <x:c r="A854" s="34"/>
      <x:c r="B854" s="34"/>
      <x:c r="C854" s="34"/>
      <x:c r="D854" s="34"/>
      <x:c r="E854" s="35"/>
      <x:c r="F854" s="35"/>
      <x:c r="G854" s="35"/>
      <x:c r="H854" s="35" t="str">
        <x:f>IF(B854="","",IF(COUNTIFS($B$2:B854,B854,$C$2:C854,C854,$D$2:D854,D854)=1,E854-SUMIFS($G$2:$G$1001,$B$2:$B$1001,B854,$C$2:$C$1001,C854,$D$2:$D$1001,D854),0))</x:f>
      </x:c>
    </x:row>
    <x:row r="855" ht="24" customHeight="1">
      <x:c r="A855" s="34"/>
      <x:c r="B855" s="34"/>
      <x:c r="C855" s="34"/>
      <x:c r="D855" s="34"/>
      <x:c r="E855" s="35"/>
      <x:c r="F855" s="35"/>
      <x:c r="G855" s="35"/>
      <x:c r="H855" s="35" t="str">
        <x:f>IF(B855="","",IF(COUNTIFS($B$2:B855,B855,$C$2:C855,C855,$D$2:D855,D855)=1,E855-SUMIFS($G$2:$G$1001,$B$2:$B$1001,B855,$C$2:$C$1001,C855,$D$2:$D$1001,D855),0))</x:f>
      </x:c>
    </x:row>
    <x:row r="856" ht="24" customHeight="1">
      <x:c r="A856" s="34"/>
      <x:c r="B856" s="34"/>
      <x:c r="C856" s="34"/>
      <x:c r="D856" s="34"/>
      <x:c r="E856" s="35"/>
      <x:c r="F856" s="35"/>
      <x:c r="G856" s="35"/>
      <x:c r="H856" s="35" t="str">
        <x:f>IF(B856="","",IF(COUNTIFS($B$2:B856,B856,$C$2:C856,C856,$D$2:D856,D856)=1,E856-SUMIFS($G$2:$G$1001,$B$2:$B$1001,B856,$C$2:$C$1001,C856,$D$2:$D$1001,D856),0))</x:f>
      </x:c>
    </x:row>
    <x:row r="857" ht="24" customHeight="1">
      <x:c r="A857" s="34"/>
      <x:c r="B857" s="34"/>
      <x:c r="C857" s="34"/>
      <x:c r="D857" s="34"/>
      <x:c r="E857" s="35"/>
      <x:c r="F857" s="35"/>
      <x:c r="G857" s="35"/>
      <x:c r="H857" s="35" t="str">
        <x:f>IF(B857="","",IF(COUNTIFS($B$2:B857,B857,$C$2:C857,C857,$D$2:D857,D857)=1,E857-SUMIFS($G$2:$G$1001,$B$2:$B$1001,B857,$C$2:$C$1001,C857,$D$2:$D$1001,D857),0))</x:f>
      </x:c>
    </x:row>
    <x:row r="858" ht="24" customHeight="1">
      <x:c r="A858" s="34"/>
      <x:c r="B858" s="34"/>
      <x:c r="C858" s="34"/>
      <x:c r="D858" s="34"/>
      <x:c r="E858" s="35"/>
      <x:c r="F858" s="35"/>
      <x:c r="G858" s="35"/>
      <x:c r="H858" s="35" t="str">
        <x:f>IF(B858="","",IF(COUNTIFS($B$2:B858,B858,$C$2:C858,C858,$D$2:D858,D858)=1,E858-SUMIFS($G$2:$G$1001,$B$2:$B$1001,B858,$C$2:$C$1001,C858,$D$2:$D$1001,D858),0))</x:f>
      </x:c>
    </x:row>
    <x:row r="859" ht="24" customHeight="1">
      <x:c r="A859" s="34"/>
      <x:c r="B859" s="34"/>
      <x:c r="C859" s="34"/>
      <x:c r="D859" s="34"/>
      <x:c r="E859" s="35"/>
      <x:c r="F859" s="35"/>
      <x:c r="G859" s="35"/>
      <x:c r="H859" s="35" t="str">
        <x:f>IF(B859="","",IF(COUNTIFS($B$2:B859,B859,$C$2:C859,C859,$D$2:D859,D859)=1,E859-SUMIFS($G$2:$G$1001,$B$2:$B$1001,B859,$C$2:$C$1001,C859,$D$2:$D$1001,D859),0))</x:f>
      </x:c>
    </x:row>
    <x:row r="860" ht="24" customHeight="1">
      <x:c r="A860" s="34"/>
      <x:c r="B860" s="34"/>
      <x:c r="C860" s="34"/>
      <x:c r="D860" s="34"/>
      <x:c r="E860" s="35"/>
      <x:c r="F860" s="35"/>
      <x:c r="G860" s="35"/>
      <x:c r="H860" s="35" t="str">
        <x:f>IF(B860="","",IF(COUNTIFS($B$2:B860,B860,$C$2:C860,C860,$D$2:D860,D860)=1,E860-SUMIFS($G$2:$G$1001,$B$2:$B$1001,B860,$C$2:$C$1001,C860,$D$2:$D$1001,D860),0))</x:f>
      </x:c>
    </x:row>
    <x:row r="861" ht="24" customHeight="1">
      <x:c r="A861" s="34"/>
      <x:c r="B861" s="34"/>
      <x:c r="C861" s="34"/>
      <x:c r="D861" s="34"/>
      <x:c r="E861" s="35"/>
      <x:c r="F861" s="35"/>
      <x:c r="G861" s="35"/>
      <x:c r="H861" s="35" t="str">
        <x:f>IF(B861="","",IF(COUNTIFS($B$2:B861,B861,$C$2:C861,C861,$D$2:D861,D861)=1,E861-SUMIFS($G$2:$G$1001,$B$2:$B$1001,B861,$C$2:$C$1001,C861,$D$2:$D$1001,D861),0))</x:f>
      </x:c>
    </x:row>
    <x:row r="862" ht="24" customHeight="1">
      <x:c r="A862" s="34"/>
      <x:c r="B862" s="34"/>
      <x:c r="C862" s="34"/>
      <x:c r="D862" s="34"/>
      <x:c r="E862" s="35"/>
      <x:c r="F862" s="35"/>
      <x:c r="G862" s="35"/>
      <x:c r="H862" s="35" t="str">
        <x:f>IF(B862="","",IF(COUNTIFS($B$2:B862,B862,$C$2:C862,C862,$D$2:D862,D862)=1,E862-SUMIFS($G$2:$G$1001,$B$2:$B$1001,B862,$C$2:$C$1001,C862,$D$2:$D$1001,D862),0))</x:f>
      </x:c>
    </x:row>
    <x:row r="863" ht="24" customHeight="1">
      <x:c r="A863" s="34"/>
      <x:c r="B863" s="34"/>
      <x:c r="C863" s="34"/>
      <x:c r="D863" s="34"/>
      <x:c r="E863" s="35"/>
      <x:c r="F863" s="35"/>
      <x:c r="G863" s="35"/>
      <x:c r="H863" s="35" t="str">
        <x:f>IF(B863="","",IF(COUNTIFS($B$2:B863,B863,$C$2:C863,C863,$D$2:D863,D863)=1,E863-SUMIFS($G$2:$G$1001,$B$2:$B$1001,B863,$C$2:$C$1001,C863,$D$2:$D$1001,D863),0))</x:f>
      </x:c>
    </x:row>
    <x:row r="864" ht="24" customHeight="1">
      <x:c r="A864" s="34"/>
      <x:c r="B864" s="34"/>
      <x:c r="C864" s="34"/>
      <x:c r="D864" s="34"/>
      <x:c r="E864" s="35"/>
      <x:c r="F864" s="35"/>
      <x:c r="G864" s="35"/>
      <x:c r="H864" s="35" t="str">
        <x:f>IF(B864="","",IF(COUNTIFS($B$2:B864,B864,$C$2:C864,C864,$D$2:D864,D864)=1,E864-SUMIFS($G$2:$G$1001,$B$2:$B$1001,B864,$C$2:$C$1001,C864,$D$2:$D$1001,D864),0))</x:f>
      </x:c>
    </x:row>
    <x:row r="865" ht="24" customHeight="1">
      <x:c r="A865" s="34"/>
      <x:c r="B865" s="34"/>
      <x:c r="C865" s="34"/>
      <x:c r="D865" s="34"/>
      <x:c r="E865" s="35"/>
      <x:c r="F865" s="35"/>
      <x:c r="G865" s="35"/>
      <x:c r="H865" s="35" t="str">
        <x:f>IF(B865="","",IF(COUNTIFS($B$2:B865,B865,$C$2:C865,C865,$D$2:D865,D865)=1,E865-SUMIFS($G$2:$G$1001,$B$2:$B$1001,B865,$C$2:$C$1001,C865,$D$2:$D$1001,D865),0))</x:f>
      </x:c>
    </x:row>
    <x:row r="866" ht="24" customHeight="1">
      <x:c r="A866" s="34"/>
      <x:c r="B866" s="34"/>
      <x:c r="C866" s="34"/>
      <x:c r="D866" s="34"/>
      <x:c r="E866" s="35"/>
      <x:c r="F866" s="35"/>
      <x:c r="G866" s="35"/>
      <x:c r="H866" s="35" t="str">
        <x:f>IF(B866="","",IF(COUNTIFS($B$2:B866,B866,$C$2:C866,C866,$D$2:D866,D866)=1,E866-SUMIFS($G$2:$G$1001,$B$2:$B$1001,B866,$C$2:$C$1001,C866,$D$2:$D$1001,D866),0))</x:f>
      </x:c>
    </x:row>
    <x:row r="867" ht="24" customHeight="1">
      <x:c r="A867" s="34"/>
      <x:c r="B867" s="34"/>
      <x:c r="C867" s="34"/>
      <x:c r="D867" s="34"/>
      <x:c r="E867" s="35"/>
      <x:c r="F867" s="35"/>
      <x:c r="G867" s="35"/>
      <x:c r="H867" s="35" t="str">
        <x:f>IF(B867="","",IF(COUNTIFS($B$2:B867,B867,$C$2:C867,C867,$D$2:D867,D867)=1,E867-SUMIFS($G$2:$G$1001,$B$2:$B$1001,B867,$C$2:$C$1001,C867,$D$2:$D$1001,D867),0))</x:f>
      </x:c>
    </x:row>
    <x:row r="868" ht="24" customHeight="1">
      <x:c r="A868" s="34"/>
      <x:c r="B868" s="34"/>
      <x:c r="C868" s="34"/>
      <x:c r="D868" s="34"/>
      <x:c r="E868" s="35"/>
      <x:c r="F868" s="35"/>
      <x:c r="G868" s="35"/>
      <x:c r="H868" s="35" t="str">
        <x:f>IF(B868="","",IF(COUNTIFS($B$2:B868,B868,$C$2:C868,C868,$D$2:D868,D868)=1,E868-SUMIFS($G$2:$G$1001,$B$2:$B$1001,B868,$C$2:$C$1001,C868,$D$2:$D$1001,D868),0))</x:f>
      </x:c>
    </x:row>
    <x:row r="869" ht="24" customHeight="1">
      <x:c r="A869" s="34"/>
      <x:c r="B869" s="34"/>
      <x:c r="C869" s="34"/>
      <x:c r="D869" s="34"/>
      <x:c r="E869" s="35"/>
      <x:c r="F869" s="35"/>
      <x:c r="G869" s="35"/>
      <x:c r="H869" s="35" t="str">
        <x:f>IF(B869="","",IF(COUNTIFS($B$2:B869,B869,$C$2:C869,C869,$D$2:D869,D869)=1,E869-SUMIFS($G$2:$G$1001,$B$2:$B$1001,B869,$C$2:$C$1001,C869,$D$2:$D$1001,D869),0))</x:f>
      </x:c>
    </x:row>
    <x:row r="870" ht="24" customHeight="1">
      <x:c r="A870" s="34"/>
      <x:c r="B870" s="34"/>
      <x:c r="C870" s="34"/>
      <x:c r="D870" s="34"/>
      <x:c r="E870" s="35"/>
      <x:c r="F870" s="35"/>
      <x:c r="G870" s="35"/>
      <x:c r="H870" s="35" t="str">
        <x:f>IF(B870="","",IF(COUNTIFS($B$2:B870,B870,$C$2:C870,C870,$D$2:D870,D870)=1,E870-SUMIFS($G$2:$G$1001,$B$2:$B$1001,B870,$C$2:$C$1001,C870,$D$2:$D$1001,D870),0))</x:f>
      </x:c>
    </x:row>
    <x:row r="871" ht="24" customHeight="1">
      <x:c r="A871" s="34"/>
      <x:c r="B871" s="34"/>
      <x:c r="C871" s="34"/>
      <x:c r="D871" s="34"/>
      <x:c r="E871" s="35"/>
      <x:c r="F871" s="35"/>
      <x:c r="G871" s="35"/>
      <x:c r="H871" s="35" t="str">
        <x:f>IF(B871="","",IF(COUNTIFS($B$2:B871,B871,$C$2:C871,C871,$D$2:D871,D871)=1,E871-SUMIFS($G$2:$G$1001,$B$2:$B$1001,B871,$C$2:$C$1001,C871,$D$2:$D$1001,D871),0))</x:f>
      </x:c>
    </x:row>
    <x:row r="872" ht="24" customHeight="1">
      <x:c r="A872" s="34"/>
      <x:c r="B872" s="34"/>
      <x:c r="C872" s="34"/>
      <x:c r="D872" s="34"/>
      <x:c r="E872" s="35"/>
      <x:c r="F872" s="35"/>
      <x:c r="G872" s="35"/>
      <x:c r="H872" s="35" t="str">
        <x:f>IF(B872="","",IF(COUNTIFS($B$2:B872,B872,$C$2:C872,C872,$D$2:D872,D872)=1,E872-SUMIFS($G$2:$G$1001,$B$2:$B$1001,B872,$C$2:$C$1001,C872,$D$2:$D$1001,D872),0))</x:f>
      </x:c>
    </x:row>
    <x:row r="873" ht="24" customHeight="1">
      <x:c r="A873" s="34"/>
      <x:c r="B873" s="34"/>
      <x:c r="C873" s="34"/>
      <x:c r="D873" s="34"/>
      <x:c r="E873" s="35"/>
      <x:c r="F873" s="35"/>
      <x:c r="G873" s="35"/>
      <x:c r="H873" s="35" t="str">
        <x:f>IF(B873="","",IF(COUNTIFS($B$2:B873,B873,$C$2:C873,C873,$D$2:D873,D873)=1,E873-SUMIFS($G$2:$G$1001,$B$2:$B$1001,B873,$C$2:$C$1001,C873,$D$2:$D$1001,D873),0))</x:f>
      </x:c>
    </x:row>
    <x:row r="874" ht="24" customHeight="1">
      <x:c r="A874" s="34"/>
      <x:c r="B874" s="34"/>
      <x:c r="C874" s="34"/>
      <x:c r="D874" s="34"/>
      <x:c r="E874" s="35"/>
      <x:c r="F874" s="35"/>
      <x:c r="G874" s="35"/>
      <x:c r="H874" s="35" t="str">
        <x:f>IF(B874="","",IF(COUNTIFS($B$2:B874,B874,$C$2:C874,C874,$D$2:D874,D874)=1,E874-SUMIFS($G$2:$G$1001,$B$2:$B$1001,B874,$C$2:$C$1001,C874,$D$2:$D$1001,D874),0))</x:f>
      </x:c>
    </x:row>
    <x:row r="875" ht="24" customHeight="1">
      <x:c r="A875" s="34"/>
      <x:c r="B875" s="34"/>
      <x:c r="C875" s="34"/>
      <x:c r="D875" s="34"/>
      <x:c r="E875" s="35"/>
      <x:c r="F875" s="35"/>
      <x:c r="G875" s="35"/>
      <x:c r="H875" s="35" t="str">
        <x:f>IF(B875="","",IF(COUNTIFS($B$2:B875,B875,$C$2:C875,C875,$D$2:D875,D875)=1,E875-SUMIFS($G$2:$G$1001,$B$2:$B$1001,B875,$C$2:$C$1001,C875,$D$2:$D$1001,D875),0))</x:f>
      </x:c>
    </x:row>
    <x:row r="876" ht="24" customHeight="1">
      <x:c r="A876" s="34"/>
      <x:c r="B876" s="34"/>
      <x:c r="C876" s="34"/>
      <x:c r="D876" s="34"/>
      <x:c r="E876" s="35"/>
      <x:c r="F876" s="35"/>
      <x:c r="G876" s="35"/>
      <x:c r="H876" s="35" t="str">
        <x:f>IF(B876="","",IF(COUNTIFS($B$2:B876,B876,$C$2:C876,C876,$D$2:D876,D876)=1,E876-SUMIFS($G$2:$G$1001,$B$2:$B$1001,B876,$C$2:$C$1001,C876,$D$2:$D$1001,D876),0))</x:f>
      </x:c>
    </x:row>
    <x:row r="877" ht="24" customHeight="1">
      <x:c r="A877" s="34"/>
      <x:c r="B877" s="34"/>
      <x:c r="C877" s="34"/>
      <x:c r="D877" s="34"/>
      <x:c r="E877" s="35"/>
      <x:c r="F877" s="35"/>
      <x:c r="G877" s="35"/>
      <x:c r="H877" s="35" t="str">
        <x:f>IF(B877="","",IF(COUNTIFS($B$2:B877,B877,$C$2:C877,C877,$D$2:D877,D877)=1,E877-SUMIFS($G$2:$G$1001,$B$2:$B$1001,B877,$C$2:$C$1001,C877,$D$2:$D$1001,D877),0))</x:f>
      </x:c>
    </x:row>
    <x:row r="878" ht="24" customHeight="1">
      <x:c r="A878" s="34"/>
      <x:c r="B878" s="34"/>
      <x:c r="C878" s="34"/>
      <x:c r="D878" s="34"/>
      <x:c r="E878" s="35"/>
      <x:c r="F878" s="35"/>
      <x:c r="G878" s="35"/>
      <x:c r="H878" s="35" t="str">
        <x:f>IF(B878="","",IF(COUNTIFS($B$2:B878,B878,$C$2:C878,C878,$D$2:D878,D878)=1,E878-SUMIFS($G$2:$G$1001,$B$2:$B$1001,B878,$C$2:$C$1001,C878,$D$2:$D$1001,D878),0))</x:f>
      </x:c>
    </x:row>
    <x:row r="879" ht="24" customHeight="1">
      <x:c r="A879" s="34"/>
      <x:c r="B879" s="34"/>
      <x:c r="C879" s="34"/>
      <x:c r="D879" s="34"/>
      <x:c r="E879" s="35"/>
      <x:c r="F879" s="35"/>
      <x:c r="G879" s="35"/>
      <x:c r="H879" s="35" t="str">
        <x:f>IF(B879="","",IF(COUNTIFS($B$2:B879,B879,$C$2:C879,C879,$D$2:D879,D879)=1,E879-SUMIFS($G$2:$G$1001,$B$2:$B$1001,B879,$C$2:$C$1001,C879,$D$2:$D$1001,D879),0))</x:f>
      </x:c>
    </x:row>
    <x:row r="880" ht="24" customHeight="1">
      <x:c r="A880" s="34"/>
      <x:c r="B880" s="34"/>
      <x:c r="C880" s="34"/>
      <x:c r="D880" s="34"/>
      <x:c r="E880" s="35"/>
      <x:c r="F880" s="35"/>
      <x:c r="G880" s="35"/>
      <x:c r="H880" s="35" t="str">
        <x:f>IF(B880="","",IF(COUNTIFS($B$2:B880,B880,$C$2:C880,C880,$D$2:D880,D880)=1,E880-SUMIFS($G$2:$G$1001,$B$2:$B$1001,B880,$C$2:$C$1001,C880,$D$2:$D$1001,D880),0))</x:f>
      </x:c>
    </x:row>
    <x:row r="881" ht="24" customHeight="1">
      <x:c r="A881" s="34"/>
      <x:c r="B881" s="34"/>
      <x:c r="C881" s="34"/>
      <x:c r="D881" s="34"/>
      <x:c r="E881" s="35"/>
      <x:c r="F881" s="35"/>
      <x:c r="G881" s="35"/>
      <x:c r="H881" s="35" t="str">
        <x:f>IF(B881="","",IF(COUNTIFS($B$2:B881,B881,$C$2:C881,C881,$D$2:D881,D881)=1,E881-SUMIFS($G$2:$G$1001,$B$2:$B$1001,B881,$C$2:$C$1001,C881,$D$2:$D$1001,D881),0))</x:f>
      </x:c>
    </x:row>
    <x:row r="882" ht="24" customHeight="1">
      <x:c r="A882" s="34"/>
      <x:c r="B882" s="34"/>
      <x:c r="C882" s="34"/>
      <x:c r="D882" s="34"/>
      <x:c r="E882" s="35"/>
      <x:c r="F882" s="35"/>
      <x:c r="G882" s="35"/>
      <x:c r="H882" s="35" t="str">
        <x:f>IF(B882="","",IF(COUNTIFS($B$2:B882,B882,$C$2:C882,C882,$D$2:D882,D882)=1,E882-SUMIFS($G$2:$G$1001,$B$2:$B$1001,B882,$C$2:$C$1001,C882,$D$2:$D$1001,D882),0))</x:f>
      </x:c>
    </x:row>
    <x:row r="883" ht="24" customHeight="1">
      <x:c r="A883" s="34"/>
      <x:c r="B883" s="34"/>
      <x:c r="C883" s="34"/>
      <x:c r="D883" s="34"/>
      <x:c r="E883" s="35"/>
      <x:c r="F883" s="35"/>
      <x:c r="G883" s="35"/>
      <x:c r="H883" s="35" t="str">
        <x:f>IF(B883="","",IF(COUNTIFS($B$2:B883,B883,$C$2:C883,C883,$D$2:D883,D883)=1,E883-SUMIFS($G$2:$G$1001,$B$2:$B$1001,B883,$C$2:$C$1001,C883,$D$2:$D$1001,D883),0))</x:f>
      </x:c>
    </x:row>
    <x:row r="884" ht="24" customHeight="1">
      <x:c r="A884" s="34"/>
      <x:c r="B884" s="34"/>
      <x:c r="C884" s="34"/>
      <x:c r="D884" s="34"/>
      <x:c r="E884" s="35"/>
      <x:c r="F884" s="35"/>
      <x:c r="G884" s="35"/>
      <x:c r="H884" s="35" t="str">
        <x:f>IF(B884="","",IF(COUNTIFS($B$2:B884,B884,$C$2:C884,C884,$D$2:D884,D884)=1,E884-SUMIFS($G$2:$G$1001,$B$2:$B$1001,B884,$C$2:$C$1001,C884,$D$2:$D$1001,D884),0))</x:f>
      </x:c>
    </x:row>
    <x:row r="885" ht="24" customHeight="1">
      <x:c r="A885" s="34"/>
      <x:c r="B885" s="34"/>
      <x:c r="C885" s="34"/>
      <x:c r="D885" s="34"/>
      <x:c r="E885" s="35"/>
      <x:c r="F885" s="35"/>
      <x:c r="G885" s="35"/>
      <x:c r="H885" s="35" t="str">
        <x:f>IF(B885="","",IF(COUNTIFS($B$2:B885,B885,$C$2:C885,C885,$D$2:D885,D885)=1,E885-SUMIFS($G$2:$G$1001,$B$2:$B$1001,B885,$C$2:$C$1001,C885,$D$2:$D$1001,D885),0))</x:f>
      </x:c>
    </x:row>
    <x:row r="886" ht="24" customHeight="1">
      <x:c r="A886" s="34"/>
      <x:c r="B886" s="34"/>
      <x:c r="C886" s="34"/>
      <x:c r="D886" s="34"/>
      <x:c r="E886" s="35"/>
      <x:c r="F886" s="35"/>
      <x:c r="G886" s="35"/>
      <x:c r="H886" s="35" t="str">
        <x:f>IF(B886="","",IF(COUNTIFS($B$2:B886,B886,$C$2:C886,C886,$D$2:D886,D886)=1,E886-SUMIFS($G$2:$G$1001,$B$2:$B$1001,B886,$C$2:$C$1001,C886,$D$2:$D$1001,D886),0))</x:f>
      </x:c>
    </x:row>
    <x:row r="887" ht="24" customHeight="1">
      <x:c r="A887" s="34"/>
      <x:c r="B887" s="34"/>
      <x:c r="C887" s="34"/>
      <x:c r="D887" s="34"/>
      <x:c r="E887" s="35"/>
      <x:c r="F887" s="35"/>
      <x:c r="G887" s="35"/>
      <x:c r="H887" s="35" t="str">
        <x:f>IF(B887="","",IF(COUNTIFS($B$2:B887,B887,$C$2:C887,C887,$D$2:D887,D887)=1,E887-SUMIFS($G$2:$G$1001,$B$2:$B$1001,B887,$C$2:$C$1001,C887,$D$2:$D$1001,D887),0))</x:f>
      </x:c>
    </x:row>
    <x:row r="888" ht="24" customHeight="1">
      <x:c r="A888" s="34"/>
      <x:c r="B888" s="34"/>
      <x:c r="C888" s="34"/>
      <x:c r="D888" s="34"/>
      <x:c r="E888" s="35"/>
      <x:c r="F888" s="35"/>
      <x:c r="G888" s="35"/>
      <x:c r="H888" s="35" t="str">
        <x:f>IF(B888="","",IF(COUNTIFS($B$2:B888,B888,$C$2:C888,C888,$D$2:D888,D888)=1,E888-SUMIFS($G$2:$G$1001,$B$2:$B$1001,B888,$C$2:$C$1001,C888,$D$2:$D$1001,D888),0))</x:f>
      </x:c>
    </x:row>
    <x:row r="889" ht="24" customHeight="1">
      <x:c r="A889" s="34"/>
      <x:c r="B889" s="34"/>
      <x:c r="C889" s="34"/>
      <x:c r="D889" s="34"/>
      <x:c r="E889" s="35"/>
      <x:c r="F889" s="35"/>
      <x:c r="G889" s="35"/>
      <x:c r="H889" s="35" t="str">
        <x:f>IF(B889="","",IF(COUNTIFS($B$2:B889,B889,$C$2:C889,C889,$D$2:D889,D889)=1,E889-SUMIFS($G$2:$G$1001,$B$2:$B$1001,B889,$C$2:$C$1001,C889,$D$2:$D$1001,D889),0))</x:f>
      </x:c>
    </x:row>
    <x:row r="890" ht="24" customHeight="1">
      <x:c r="A890" s="34"/>
      <x:c r="B890" s="34"/>
      <x:c r="C890" s="34"/>
      <x:c r="D890" s="34"/>
      <x:c r="E890" s="35"/>
      <x:c r="F890" s="35"/>
      <x:c r="G890" s="35"/>
      <x:c r="H890" s="35" t="str">
        <x:f>IF(B890="","",IF(COUNTIFS($B$2:B890,B890,$C$2:C890,C890,$D$2:D890,D890)=1,E890-SUMIFS($G$2:$G$1001,$B$2:$B$1001,B890,$C$2:$C$1001,C890,$D$2:$D$1001,D890),0))</x:f>
      </x:c>
    </x:row>
    <x:row r="891" ht="24" customHeight="1">
      <x:c r="A891" s="34"/>
      <x:c r="B891" s="34"/>
      <x:c r="C891" s="34"/>
      <x:c r="D891" s="34"/>
      <x:c r="E891" s="35"/>
      <x:c r="F891" s="35"/>
      <x:c r="G891" s="35"/>
      <x:c r="H891" s="35" t="str">
        <x:f>IF(B891="","",IF(COUNTIFS($B$2:B891,B891,$C$2:C891,C891,$D$2:D891,D891)=1,E891-SUMIFS($G$2:$G$1001,$B$2:$B$1001,B891,$C$2:$C$1001,C891,$D$2:$D$1001,D891),0))</x:f>
      </x:c>
    </x:row>
    <x:row r="892" ht="24" customHeight="1">
      <x:c r="A892" s="34"/>
      <x:c r="B892" s="34"/>
      <x:c r="C892" s="34"/>
      <x:c r="D892" s="34"/>
      <x:c r="E892" s="35"/>
      <x:c r="F892" s="35"/>
      <x:c r="G892" s="35"/>
      <x:c r="H892" s="35" t="str">
        <x:f>IF(B892="","",IF(COUNTIFS($B$2:B892,B892,$C$2:C892,C892,$D$2:D892,D892)=1,E892-SUMIFS($G$2:$G$1001,$B$2:$B$1001,B892,$C$2:$C$1001,C892,$D$2:$D$1001,D892),0))</x:f>
      </x:c>
    </x:row>
    <x:row r="893" ht="24" customHeight="1">
      <x:c r="A893" s="34"/>
      <x:c r="B893" s="34"/>
      <x:c r="C893" s="34"/>
      <x:c r="D893" s="34"/>
      <x:c r="E893" s="35"/>
      <x:c r="F893" s="35"/>
      <x:c r="G893" s="35"/>
      <x:c r="H893" s="35" t="str">
        <x:f>IF(B893="","",IF(COUNTIFS($B$2:B893,B893,$C$2:C893,C893,$D$2:D893,D893)=1,E893-SUMIFS($G$2:$G$1001,$B$2:$B$1001,B893,$C$2:$C$1001,C893,$D$2:$D$1001,D893),0))</x:f>
      </x:c>
    </x:row>
    <x:row r="894" ht="24" customHeight="1">
      <x:c r="A894" s="34"/>
      <x:c r="B894" s="34"/>
      <x:c r="C894" s="34"/>
      <x:c r="D894" s="34"/>
      <x:c r="E894" s="35"/>
      <x:c r="F894" s="35"/>
      <x:c r="G894" s="35"/>
      <x:c r="H894" s="35" t="str">
        <x:f>IF(B894="","",IF(COUNTIFS($B$2:B894,B894,$C$2:C894,C894,$D$2:D894,D894)=1,E894-SUMIFS($G$2:$G$1001,$B$2:$B$1001,B894,$C$2:$C$1001,C894,$D$2:$D$1001,D894),0))</x:f>
      </x:c>
    </x:row>
    <x:row r="895" ht="24" customHeight="1">
      <x:c r="A895" s="34"/>
      <x:c r="B895" s="34"/>
      <x:c r="C895" s="34"/>
      <x:c r="D895" s="34"/>
      <x:c r="E895" s="35"/>
      <x:c r="F895" s="35"/>
      <x:c r="G895" s="35"/>
      <x:c r="H895" s="35" t="str">
        <x:f>IF(B895="","",IF(COUNTIFS($B$2:B895,B895,$C$2:C895,C895,$D$2:D895,D895)=1,E895-SUMIFS($G$2:$G$1001,$B$2:$B$1001,B895,$C$2:$C$1001,C895,$D$2:$D$1001,D895),0))</x:f>
      </x:c>
    </x:row>
    <x:row r="896" ht="24" customHeight="1">
      <x:c r="A896" s="34"/>
      <x:c r="B896" s="34"/>
      <x:c r="C896" s="34"/>
      <x:c r="D896" s="34"/>
      <x:c r="E896" s="35"/>
      <x:c r="F896" s="35"/>
      <x:c r="G896" s="35"/>
      <x:c r="H896" s="35" t="str">
        <x:f>IF(B896="","",IF(COUNTIFS($B$2:B896,B896,$C$2:C896,C896,$D$2:D896,D896)=1,E896-SUMIFS($G$2:$G$1001,$B$2:$B$1001,B896,$C$2:$C$1001,C896,$D$2:$D$1001,D896),0))</x:f>
      </x:c>
    </x:row>
    <x:row r="897" ht="24" customHeight="1">
      <x:c r="A897" s="34"/>
      <x:c r="B897" s="34"/>
      <x:c r="C897" s="34"/>
      <x:c r="D897" s="34"/>
      <x:c r="E897" s="35"/>
      <x:c r="F897" s="35"/>
      <x:c r="G897" s="35"/>
      <x:c r="H897" s="35" t="str">
        <x:f>IF(B897="","",IF(COUNTIFS($B$2:B897,B897,$C$2:C897,C897,$D$2:D897,D897)=1,E897-SUMIFS($G$2:$G$1001,$B$2:$B$1001,B897,$C$2:$C$1001,C897,$D$2:$D$1001,D897),0))</x:f>
      </x:c>
    </x:row>
    <x:row r="898" ht="24" customHeight="1">
      <x:c r="A898" s="34"/>
      <x:c r="B898" s="34"/>
      <x:c r="C898" s="34"/>
      <x:c r="D898" s="34"/>
      <x:c r="E898" s="35"/>
      <x:c r="F898" s="35"/>
      <x:c r="G898" s="35"/>
      <x:c r="H898" s="35" t="str">
        <x:f>IF(B898="","",IF(COUNTIFS($B$2:B898,B898,$C$2:C898,C898,$D$2:D898,D898)=1,E898-SUMIFS($G$2:$G$1001,$B$2:$B$1001,B898,$C$2:$C$1001,C898,$D$2:$D$1001,D898),0))</x:f>
      </x:c>
    </x:row>
    <x:row r="899" ht="24" customHeight="1">
      <x:c r="A899" s="34"/>
      <x:c r="B899" s="34"/>
      <x:c r="C899" s="34"/>
      <x:c r="D899" s="34"/>
      <x:c r="E899" s="35"/>
      <x:c r="F899" s="35"/>
      <x:c r="G899" s="35"/>
      <x:c r="H899" s="35" t="str">
        <x:f>IF(B899="","",IF(COUNTIFS($B$2:B899,B899,$C$2:C899,C899,$D$2:D899,D899)=1,E899-SUMIFS($G$2:$G$1001,$B$2:$B$1001,B899,$C$2:$C$1001,C899,$D$2:$D$1001,D899),0))</x:f>
      </x:c>
    </x:row>
    <x:row r="900" ht="24" customHeight="1">
      <x:c r="A900" s="34"/>
      <x:c r="B900" s="34"/>
      <x:c r="C900" s="34"/>
      <x:c r="D900" s="34"/>
      <x:c r="E900" s="35"/>
      <x:c r="F900" s="35"/>
      <x:c r="G900" s="35"/>
      <x:c r="H900" s="35" t="str">
        <x:f>IF(B900="","",IF(COUNTIFS($B$2:B900,B900,$C$2:C900,C900,$D$2:D900,D900)=1,E900-SUMIFS($G$2:$G$1001,$B$2:$B$1001,B900,$C$2:$C$1001,C900,$D$2:$D$1001,D900),0))</x:f>
      </x:c>
    </x:row>
    <x:row r="901" ht="24" customHeight="1">
      <x:c r="A901" s="34"/>
      <x:c r="B901" s="34"/>
      <x:c r="C901" s="34"/>
      <x:c r="D901" s="34"/>
      <x:c r="E901" s="35"/>
      <x:c r="F901" s="35"/>
      <x:c r="G901" s="35"/>
      <x:c r="H901" s="35" t="str">
        <x:f>IF(B901="","",IF(COUNTIFS($B$2:B901,B901,$C$2:C901,C901,$D$2:D901,D901)=1,E901-SUMIFS($G$2:$G$1001,$B$2:$B$1001,B901,$C$2:$C$1001,C901,$D$2:$D$1001,D901),0))</x:f>
      </x:c>
    </x:row>
    <x:row r="902" ht="24" customHeight="1">
      <x:c r="A902" s="34"/>
      <x:c r="B902" s="34"/>
      <x:c r="C902" s="34"/>
      <x:c r="D902" s="34"/>
      <x:c r="E902" s="35"/>
      <x:c r="F902" s="35"/>
      <x:c r="G902" s="35"/>
      <x:c r="H902" s="35" t="str">
        <x:f>IF(B902="","",IF(COUNTIFS($B$2:B902,B902,$C$2:C902,C902,$D$2:D902,D902)=1,E902-SUMIFS($G$2:$G$1001,$B$2:$B$1001,B902,$C$2:$C$1001,C902,$D$2:$D$1001,D902),0))</x:f>
      </x:c>
    </x:row>
    <x:row r="903" ht="24" customHeight="1">
      <x:c r="A903" s="34"/>
      <x:c r="B903" s="34"/>
      <x:c r="C903" s="34"/>
      <x:c r="D903" s="34"/>
      <x:c r="E903" s="35"/>
      <x:c r="F903" s="35"/>
      <x:c r="G903" s="35"/>
      <x:c r="H903" s="35" t="str">
        <x:f>IF(B903="","",IF(COUNTIFS($B$2:B903,B903,$C$2:C903,C903,$D$2:D903,D903)=1,E903-SUMIFS($G$2:$G$1001,$B$2:$B$1001,B903,$C$2:$C$1001,C903,$D$2:$D$1001,D903),0))</x:f>
      </x:c>
    </x:row>
    <x:row r="904" ht="24" customHeight="1">
      <x:c r="A904" s="34"/>
      <x:c r="B904" s="34"/>
      <x:c r="C904" s="34"/>
      <x:c r="D904" s="34"/>
      <x:c r="E904" s="35"/>
      <x:c r="F904" s="35"/>
      <x:c r="G904" s="35"/>
      <x:c r="H904" s="35" t="str">
        <x:f>IF(B904="","",IF(COUNTIFS($B$2:B904,B904,$C$2:C904,C904,$D$2:D904,D904)=1,E904-SUMIFS($G$2:$G$1001,$B$2:$B$1001,B904,$C$2:$C$1001,C904,$D$2:$D$1001,D904),0))</x:f>
      </x:c>
    </x:row>
    <x:row r="905" ht="24" customHeight="1">
      <x:c r="A905" s="34"/>
      <x:c r="B905" s="34"/>
      <x:c r="C905" s="34"/>
      <x:c r="D905" s="34"/>
      <x:c r="E905" s="35"/>
      <x:c r="F905" s="35"/>
      <x:c r="G905" s="35"/>
      <x:c r="H905" s="35" t="str">
        <x:f>IF(B905="","",IF(COUNTIFS($B$2:B905,B905,$C$2:C905,C905,$D$2:D905,D905)=1,E905-SUMIFS($G$2:$G$1001,$B$2:$B$1001,B905,$C$2:$C$1001,C905,$D$2:$D$1001,D905),0))</x:f>
      </x:c>
    </x:row>
    <x:row r="906" ht="24" customHeight="1">
      <x:c r="A906" s="34"/>
      <x:c r="B906" s="34"/>
      <x:c r="C906" s="34"/>
      <x:c r="D906" s="34"/>
      <x:c r="E906" s="35"/>
      <x:c r="F906" s="35"/>
      <x:c r="G906" s="35"/>
      <x:c r="H906" s="35" t="str">
        <x:f>IF(B906="","",IF(COUNTIFS($B$2:B906,B906,$C$2:C906,C906,$D$2:D906,D906)=1,E906-SUMIFS($G$2:$G$1001,$B$2:$B$1001,B906,$C$2:$C$1001,C906,$D$2:$D$1001,D906),0))</x:f>
      </x:c>
    </x:row>
    <x:row r="907" ht="24" customHeight="1">
      <x:c r="A907" s="34"/>
      <x:c r="B907" s="34"/>
      <x:c r="C907" s="34"/>
      <x:c r="D907" s="34"/>
      <x:c r="E907" s="35"/>
      <x:c r="F907" s="35"/>
      <x:c r="G907" s="35"/>
      <x:c r="H907" s="35" t="str">
        <x:f>IF(B907="","",IF(COUNTIFS($B$2:B907,B907,$C$2:C907,C907,$D$2:D907,D907)=1,E907-SUMIFS($G$2:$G$1001,$B$2:$B$1001,B907,$C$2:$C$1001,C907,$D$2:$D$1001,D907),0))</x:f>
      </x:c>
    </x:row>
    <x:row r="908" ht="24" customHeight="1">
      <x:c r="A908" s="34"/>
      <x:c r="B908" s="34"/>
      <x:c r="C908" s="34"/>
      <x:c r="D908" s="34"/>
      <x:c r="E908" s="35"/>
      <x:c r="F908" s="35"/>
      <x:c r="G908" s="35"/>
      <x:c r="H908" s="35" t="str">
        <x:f>IF(B908="","",IF(COUNTIFS($B$2:B908,B908,$C$2:C908,C908,$D$2:D908,D908)=1,E908-SUMIFS($G$2:$G$1001,$B$2:$B$1001,B908,$C$2:$C$1001,C908,$D$2:$D$1001,D908),0))</x:f>
      </x:c>
    </x:row>
    <x:row r="909" ht="24" customHeight="1">
      <x:c r="A909" s="34"/>
      <x:c r="B909" s="34"/>
      <x:c r="C909" s="34"/>
      <x:c r="D909" s="34"/>
      <x:c r="E909" s="35"/>
      <x:c r="F909" s="35"/>
      <x:c r="G909" s="35"/>
      <x:c r="H909" s="35" t="str">
        <x:f>IF(B909="","",IF(COUNTIFS($B$2:B909,B909,$C$2:C909,C909,$D$2:D909,D909)=1,E909-SUMIFS($G$2:$G$1001,$B$2:$B$1001,B909,$C$2:$C$1001,C909,$D$2:$D$1001,D909),0))</x:f>
      </x:c>
    </x:row>
    <x:row r="910" ht="24" customHeight="1">
      <x:c r="A910" s="34"/>
      <x:c r="B910" s="34"/>
      <x:c r="C910" s="34"/>
      <x:c r="D910" s="34"/>
      <x:c r="E910" s="35"/>
      <x:c r="F910" s="35"/>
      <x:c r="G910" s="35"/>
      <x:c r="H910" s="35" t="str">
        <x:f>IF(B910="","",IF(COUNTIFS($B$2:B910,B910,$C$2:C910,C910,$D$2:D910,D910)=1,E910-SUMIFS($G$2:$G$1001,$B$2:$B$1001,B910,$C$2:$C$1001,C910,$D$2:$D$1001,D910),0))</x:f>
      </x:c>
    </x:row>
    <x:row r="911" ht="24" customHeight="1">
      <x:c r="A911" s="34"/>
      <x:c r="B911" s="34"/>
      <x:c r="C911" s="34"/>
      <x:c r="D911" s="34"/>
      <x:c r="E911" s="35"/>
      <x:c r="F911" s="35"/>
      <x:c r="G911" s="35"/>
      <x:c r="H911" s="35" t="str">
        <x:f>IF(B911="","",IF(COUNTIFS($B$2:B911,B911,$C$2:C911,C911,$D$2:D911,D911)=1,E911-SUMIFS($G$2:$G$1001,$B$2:$B$1001,B911,$C$2:$C$1001,C911,$D$2:$D$1001,D911),0))</x:f>
      </x:c>
    </x:row>
    <x:row r="912" ht="24" customHeight="1">
      <x:c r="A912" s="34"/>
      <x:c r="B912" s="34"/>
      <x:c r="C912" s="34"/>
      <x:c r="D912" s="34"/>
      <x:c r="E912" s="35"/>
      <x:c r="F912" s="35"/>
      <x:c r="G912" s="35"/>
      <x:c r="H912" s="35" t="str">
        <x:f>IF(B912="","",IF(COUNTIFS($B$2:B912,B912,$C$2:C912,C912,$D$2:D912,D912)=1,E912-SUMIFS($G$2:$G$1001,$B$2:$B$1001,B912,$C$2:$C$1001,C912,$D$2:$D$1001,D912),0))</x:f>
      </x:c>
    </x:row>
    <x:row r="913" ht="24" customHeight="1">
      <x:c r="A913" s="34"/>
      <x:c r="B913" s="34"/>
      <x:c r="C913" s="34"/>
      <x:c r="D913" s="34"/>
      <x:c r="E913" s="35"/>
      <x:c r="F913" s="35"/>
      <x:c r="G913" s="35"/>
      <x:c r="H913" s="35" t="str">
        <x:f>IF(B913="","",IF(COUNTIFS($B$2:B913,B913,$C$2:C913,C913,$D$2:D913,D913)=1,E913-SUMIFS($G$2:$G$1001,$B$2:$B$1001,B913,$C$2:$C$1001,C913,$D$2:$D$1001,D913),0))</x:f>
      </x:c>
    </x:row>
    <x:row r="914" ht="24" customHeight="1">
      <x:c r="A914" s="34"/>
      <x:c r="B914" s="34"/>
      <x:c r="C914" s="34"/>
      <x:c r="D914" s="34"/>
      <x:c r="E914" s="35"/>
      <x:c r="F914" s="35"/>
      <x:c r="G914" s="35"/>
      <x:c r="H914" s="35" t="str">
        <x:f>IF(B914="","",IF(COUNTIFS($B$2:B914,B914,$C$2:C914,C914,$D$2:D914,D914)=1,E914-SUMIFS($G$2:$G$1001,$B$2:$B$1001,B914,$C$2:$C$1001,C914,$D$2:$D$1001,D914),0))</x:f>
      </x:c>
    </x:row>
    <x:row r="915" ht="24" customHeight="1">
      <x:c r="A915" s="34"/>
      <x:c r="B915" s="34"/>
      <x:c r="C915" s="34"/>
      <x:c r="D915" s="34"/>
      <x:c r="E915" s="35"/>
      <x:c r="F915" s="35"/>
      <x:c r="G915" s="35"/>
      <x:c r="H915" s="35" t="str">
        <x:f>IF(B915="","",IF(COUNTIFS($B$2:B915,B915,$C$2:C915,C915,$D$2:D915,D915)=1,E915-SUMIFS($G$2:$G$1001,$B$2:$B$1001,B915,$C$2:$C$1001,C915,$D$2:$D$1001,D915),0))</x:f>
      </x:c>
    </x:row>
    <x:row r="916" ht="24" customHeight="1">
      <x:c r="A916" s="34"/>
      <x:c r="B916" s="34"/>
      <x:c r="C916" s="34"/>
      <x:c r="D916" s="34"/>
      <x:c r="E916" s="35"/>
      <x:c r="F916" s="35"/>
      <x:c r="G916" s="35"/>
      <x:c r="H916" s="35" t="str">
        <x:f>IF(B916="","",IF(COUNTIFS($B$2:B916,B916,$C$2:C916,C916,$D$2:D916,D916)=1,E916-SUMIFS($G$2:$G$1001,$B$2:$B$1001,B916,$C$2:$C$1001,C916,$D$2:$D$1001,D916),0))</x:f>
      </x:c>
    </x:row>
    <x:row r="917" ht="24" customHeight="1">
      <x:c r="A917" s="34"/>
      <x:c r="B917" s="34"/>
      <x:c r="C917" s="34"/>
      <x:c r="D917" s="34"/>
      <x:c r="E917" s="35"/>
      <x:c r="F917" s="35"/>
      <x:c r="G917" s="35"/>
      <x:c r="H917" s="35" t="str">
        <x:f>IF(B917="","",IF(COUNTIFS($B$2:B917,B917,$C$2:C917,C917,$D$2:D917,D917)=1,E917-SUMIFS($G$2:$G$1001,$B$2:$B$1001,B917,$C$2:$C$1001,C917,$D$2:$D$1001,D917),0))</x:f>
      </x:c>
    </x:row>
    <x:row r="918" ht="24" customHeight="1">
      <x:c r="A918" s="34"/>
      <x:c r="B918" s="34"/>
      <x:c r="C918" s="34"/>
      <x:c r="D918" s="34"/>
      <x:c r="E918" s="35"/>
      <x:c r="F918" s="35"/>
      <x:c r="G918" s="35"/>
      <x:c r="H918" s="35" t="str">
        <x:f>IF(B918="","",IF(COUNTIFS($B$2:B918,B918,$C$2:C918,C918,$D$2:D918,D918)=1,E918-SUMIFS($G$2:$G$1001,$B$2:$B$1001,B918,$C$2:$C$1001,C918,$D$2:$D$1001,D918),0))</x:f>
      </x:c>
    </x:row>
    <x:row r="919" ht="24" customHeight="1">
      <x:c r="A919" s="34"/>
      <x:c r="B919" s="34"/>
      <x:c r="C919" s="34"/>
      <x:c r="D919" s="34"/>
      <x:c r="E919" s="35"/>
      <x:c r="F919" s="35"/>
      <x:c r="G919" s="35"/>
      <x:c r="H919" s="35" t="str">
        <x:f>IF(B919="","",IF(COUNTIFS($B$2:B919,B919,$C$2:C919,C919,$D$2:D919,D919)=1,E919-SUMIFS($G$2:$G$1001,$B$2:$B$1001,B919,$C$2:$C$1001,C919,$D$2:$D$1001,D919),0))</x:f>
      </x:c>
    </x:row>
    <x:row r="920" ht="24" customHeight="1">
      <x:c r="A920" s="34"/>
      <x:c r="B920" s="34"/>
      <x:c r="C920" s="34"/>
      <x:c r="D920" s="34"/>
      <x:c r="E920" s="35"/>
      <x:c r="F920" s="35"/>
      <x:c r="G920" s="35"/>
      <x:c r="H920" s="35" t="str">
        <x:f>IF(B920="","",IF(COUNTIFS($B$2:B920,B920,$C$2:C920,C920,$D$2:D920,D920)=1,E920-SUMIFS($G$2:$G$1001,$B$2:$B$1001,B920,$C$2:$C$1001,C920,$D$2:$D$1001,D920),0))</x:f>
      </x:c>
    </x:row>
    <x:row r="921" ht="24" customHeight="1">
      <x:c r="A921" s="34"/>
      <x:c r="B921" s="34"/>
      <x:c r="C921" s="34"/>
      <x:c r="D921" s="34"/>
      <x:c r="E921" s="35"/>
      <x:c r="F921" s="35"/>
      <x:c r="G921" s="35"/>
      <x:c r="H921" s="35" t="str">
        <x:f>IF(B921="","",IF(COUNTIFS($B$2:B921,B921,$C$2:C921,C921,$D$2:D921,D921)=1,E921-SUMIFS($G$2:$G$1001,$B$2:$B$1001,B921,$C$2:$C$1001,C921,$D$2:$D$1001,D921),0))</x:f>
      </x:c>
    </x:row>
    <x:row r="922" ht="24" customHeight="1">
      <x:c r="A922" s="34"/>
      <x:c r="B922" s="34"/>
      <x:c r="C922" s="34"/>
      <x:c r="D922" s="34"/>
      <x:c r="E922" s="35"/>
      <x:c r="F922" s="35"/>
      <x:c r="G922" s="35"/>
      <x:c r="H922" s="35" t="str">
        <x:f>IF(B922="","",IF(COUNTIFS($B$2:B922,B922,$C$2:C922,C922,$D$2:D922,D922)=1,E922-SUMIFS($G$2:$G$1001,$B$2:$B$1001,B922,$C$2:$C$1001,C922,$D$2:$D$1001,D922),0))</x:f>
      </x:c>
    </x:row>
    <x:row r="923" ht="24" customHeight="1">
      <x:c r="A923" s="34"/>
      <x:c r="B923" s="34"/>
      <x:c r="C923" s="34"/>
      <x:c r="D923" s="34"/>
      <x:c r="E923" s="35"/>
      <x:c r="F923" s="35"/>
      <x:c r="G923" s="35"/>
      <x:c r="H923" s="35" t="str">
        <x:f>IF(B923="","",IF(COUNTIFS($B$2:B923,B923,$C$2:C923,C923,$D$2:D923,D923)=1,E923-SUMIFS($G$2:$G$1001,$B$2:$B$1001,B923,$C$2:$C$1001,C923,$D$2:$D$1001,D923),0))</x:f>
      </x:c>
    </x:row>
    <x:row r="924" ht="24" customHeight="1">
      <x:c r="A924" s="34"/>
      <x:c r="B924" s="34"/>
      <x:c r="C924" s="34"/>
      <x:c r="D924" s="34"/>
      <x:c r="E924" s="35"/>
      <x:c r="F924" s="35"/>
      <x:c r="G924" s="35"/>
      <x:c r="H924" s="35" t="str">
        <x:f>IF(B924="","",IF(COUNTIFS($B$2:B924,B924,$C$2:C924,C924,$D$2:D924,D924)=1,E924-SUMIFS($G$2:$G$1001,$B$2:$B$1001,B924,$C$2:$C$1001,C924,$D$2:$D$1001,D924),0))</x:f>
      </x:c>
    </x:row>
    <x:row r="925" ht="24" customHeight="1">
      <x:c r="A925" s="34"/>
      <x:c r="B925" s="34"/>
      <x:c r="C925" s="34"/>
      <x:c r="D925" s="34"/>
      <x:c r="E925" s="35"/>
      <x:c r="F925" s="35"/>
      <x:c r="G925" s="35"/>
      <x:c r="H925" s="35" t="str">
        <x:f>IF(B925="","",IF(COUNTIFS($B$2:B925,B925,$C$2:C925,C925,$D$2:D925,D925)=1,E925-SUMIFS($G$2:$G$1001,$B$2:$B$1001,B925,$C$2:$C$1001,C925,$D$2:$D$1001,D925),0))</x:f>
      </x:c>
    </x:row>
    <x:row r="926" ht="24" customHeight="1">
      <x:c r="A926" s="34"/>
      <x:c r="B926" s="34"/>
      <x:c r="C926" s="34"/>
      <x:c r="D926" s="34"/>
      <x:c r="E926" s="35"/>
      <x:c r="F926" s="35"/>
      <x:c r="G926" s="35"/>
      <x:c r="H926" s="35" t="str">
        <x:f>IF(B926="","",IF(COUNTIFS($B$2:B926,B926,$C$2:C926,C926,$D$2:D926,D926)=1,E926-SUMIFS($G$2:$G$1001,$B$2:$B$1001,B926,$C$2:$C$1001,C926,$D$2:$D$1001,D926),0))</x:f>
      </x:c>
    </x:row>
    <x:row r="927" ht="24" customHeight="1">
      <x:c r="A927" s="34"/>
      <x:c r="B927" s="34"/>
      <x:c r="C927" s="34"/>
      <x:c r="D927" s="34"/>
      <x:c r="E927" s="35"/>
      <x:c r="F927" s="35"/>
      <x:c r="G927" s="35"/>
      <x:c r="H927" s="35" t="str">
        <x:f>IF(B927="","",IF(COUNTIFS($B$2:B927,B927,$C$2:C927,C927,$D$2:D927,D927)=1,E927-SUMIFS($G$2:$G$1001,$B$2:$B$1001,B927,$C$2:$C$1001,C927,$D$2:$D$1001,D927),0))</x:f>
      </x:c>
    </x:row>
    <x:row r="928" ht="24" customHeight="1">
      <x:c r="A928" s="34"/>
      <x:c r="B928" s="34"/>
      <x:c r="C928" s="34"/>
      <x:c r="D928" s="34"/>
      <x:c r="E928" s="35"/>
      <x:c r="F928" s="35"/>
      <x:c r="G928" s="35"/>
      <x:c r="H928" s="35" t="str">
        <x:f>IF(B928="","",IF(COUNTIFS($B$2:B928,B928,$C$2:C928,C928,$D$2:D928,D928)=1,E928-SUMIFS($G$2:$G$1001,$B$2:$B$1001,B928,$C$2:$C$1001,C928,$D$2:$D$1001,D928),0))</x:f>
      </x:c>
    </x:row>
    <x:row r="929" ht="24" customHeight="1">
      <x:c r="A929" s="34"/>
      <x:c r="B929" s="34"/>
      <x:c r="C929" s="34"/>
      <x:c r="D929" s="34"/>
      <x:c r="E929" s="35"/>
      <x:c r="F929" s="35"/>
      <x:c r="G929" s="35"/>
      <x:c r="H929" s="35" t="str">
        <x:f>IF(B929="","",IF(COUNTIFS($B$2:B929,B929,$C$2:C929,C929,$D$2:D929,D929)=1,E929-SUMIFS($G$2:$G$1001,$B$2:$B$1001,B929,$C$2:$C$1001,C929,$D$2:$D$1001,D929),0))</x:f>
      </x:c>
    </x:row>
    <x:row r="930" ht="24" customHeight="1">
      <x:c r="A930" s="34"/>
      <x:c r="B930" s="34"/>
      <x:c r="C930" s="34"/>
      <x:c r="D930" s="34"/>
      <x:c r="E930" s="35"/>
      <x:c r="F930" s="35"/>
      <x:c r="G930" s="35"/>
      <x:c r="H930" s="35" t="str">
        <x:f>IF(B930="","",IF(COUNTIFS($B$2:B930,B930,$C$2:C930,C930,$D$2:D930,D930)=1,E930-SUMIFS($G$2:$G$1001,$B$2:$B$1001,B930,$C$2:$C$1001,C930,$D$2:$D$1001,D930),0))</x:f>
      </x:c>
    </x:row>
    <x:row r="931" ht="24" customHeight="1">
      <x:c r="A931" s="34"/>
      <x:c r="B931" s="34"/>
      <x:c r="C931" s="34"/>
      <x:c r="D931" s="34"/>
      <x:c r="E931" s="35"/>
      <x:c r="F931" s="35"/>
      <x:c r="G931" s="35"/>
      <x:c r="H931" s="35" t="str">
        <x:f>IF(B931="","",IF(COUNTIFS($B$2:B931,B931,$C$2:C931,C931,$D$2:D931,D931)=1,E931-SUMIFS($G$2:$G$1001,$B$2:$B$1001,B931,$C$2:$C$1001,C931,$D$2:$D$1001,D931),0))</x:f>
      </x:c>
    </x:row>
    <x:row r="932" ht="24" customHeight="1">
      <x:c r="A932" s="34"/>
      <x:c r="B932" s="34"/>
      <x:c r="C932" s="34"/>
      <x:c r="D932" s="34"/>
      <x:c r="E932" s="35"/>
      <x:c r="F932" s="35"/>
      <x:c r="G932" s="35"/>
      <x:c r="H932" s="35" t="str">
        <x:f>IF(B932="","",IF(COUNTIFS($B$2:B932,B932,$C$2:C932,C932,$D$2:D932,D932)=1,E932-SUMIFS($G$2:$G$1001,$B$2:$B$1001,B932,$C$2:$C$1001,C932,$D$2:$D$1001,D932),0))</x:f>
      </x:c>
    </x:row>
    <x:row r="933" ht="24" customHeight="1">
      <x:c r="A933" s="34"/>
      <x:c r="B933" s="34"/>
      <x:c r="C933" s="34"/>
      <x:c r="D933" s="34"/>
      <x:c r="E933" s="35"/>
      <x:c r="F933" s="35"/>
      <x:c r="G933" s="35"/>
      <x:c r="H933" s="35" t="str">
        <x:f>IF(B933="","",IF(COUNTIFS($B$2:B933,B933,$C$2:C933,C933,$D$2:D933,D933)=1,E933-SUMIFS($G$2:$G$1001,$B$2:$B$1001,B933,$C$2:$C$1001,C933,$D$2:$D$1001,D933),0))</x:f>
      </x:c>
    </x:row>
    <x:row r="934" ht="24" customHeight="1">
      <x:c r="A934" s="34"/>
      <x:c r="B934" s="34"/>
      <x:c r="C934" s="34"/>
      <x:c r="D934" s="34"/>
      <x:c r="E934" s="35"/>
      <x:c r="F934" s="35"/>
      <x:c r="G934" s="35"/>
      <x:c r="H934" s="35" t="str">
        <x:f>IF(B934="","",IF(COUNTIFS($B$2:B934,B934,$C$2:C934,C934,$D$2:D934,D934)=1,E934-SUMIFS($G$2:$G$1001,$B$2:$B$1001,B934,$C$2:$C$1001,C934,$D$2:$D$1001,D934),0))</x:f>
      </x:c>
    </x:row>
    <x:row r="935" ht="24" customHeight="1">
      <x:c r="A935" s="34"/>
      <x:c r="B935" s="34"/>
      <x:c r="C935" s="34"/>
      <x:c r="D935" s="34"/>
      <x:c r="E935" s="35"/>
      <x:c r="F935" s="35"/>
      <x:c r="G935" s="35"/>
      <x:c r="H935" s="35" t="str">
        <x:f>IF(B935="","",IF(COUNTIFS($B$2:B935,B935,$C$2:C935,C935,$D$2:D935,D935)=1,E935-SUMIFS($G$2:$G$1001,$B$2:$B$1001,B935,$C$2:$C$1001,C935,$D$2:$D$1001,D935),0))</x:f>
      </x:c>
    </x:row>
    <x:row r="936" ht="24" customHeight="1">
      <x:c r="A936" s="34"/>
      <x:c r="B936" s="34"/>
      <x:c r="C936" s="34"/>
      <x:c r="D936" s="34"/>
      <x:c r="E936" s="35"/>
      <x:c r="F936" s="35"/>
      <x:c r="G936" s="35"/>
      <x:c r="H936" s="35" t="str">
        <x:f>IF(B936="","",IF(COUNTIFS($B$2:B936,B936,$C$2:C936,C936,$D$2:D936,D936)=1,E936-SUMIFS($G$2:$G$1001,$B$2:$B$1001,B936,$C$2:$C$1001,C936,$D$2:$D$1001,D936),0))</x:f>
      </x:c>
    </x:row>
    <x:row r="937" ht="24" customHeight="1">
      <x:c r="A937" s="34"/>
      <x:c r="B937" s="34"/>
      <x:c r="C937" s="34"/>
      <x:c r="D937" s="34"/>
      <x:c r="E937" s="35"/>
      <x:c r="F937" s="35"/>
      <x:c r="G937" s="35"/>
      <x:c r="H937" s="35" t="str">
        <x:f>IF(B937="","",IF(COUNTIFS($B$2:B937,B937,$C$2:C937,C937,$D$2:D937,D937)=1,E937-SUMIFS($G$2:$G$1001,$B$2:$B$1001,B937,$C$2:$C$1001,C937,$D$2:$D$1001,D937),0))</x:f>
      </x:c>
    </x:row>
    <x:row r="938" ht="24" customHeight="1">
      <x:c r="A938" s="34"/>
      <x:c r="B938" s="34"/>
      <x:c r="C938" s="34"/>
      <x:c r="D938" s="34"/>
      <x:c r="E938" s="35"/>
      <x:c r="F938" s="35"/>
      <x:c r="G938" s="35"/>
      <x:c r="H938" s="35" t="str">
        <x:f>IF(B938="","",IF(COUNTIFS($B$2:B938,B938,$C$2:C938,C938,$D$2:D938,D938)=1,E938-SUMIFS($G$2:$G$1001,$B$2:$B$1001,B938,$C$2:$C$1001,C938,$D$2:$D$1001,D938),0))</x:f>
      </x:c>
    </x:row>
    <x:row r="939" ht="24" customHeight="1">
      <x:c r="A939" s="34"/>
      <x:c r="B939" s="34"/>
      <x:c r="C939" s="34"/>
      <x:c r="D939" s="34"/>
      <x:c r="E939" s="35"/>
      <x:c r="F939" s="35"/>
      <x:c r="G939" s="35"/>
      <x:c r="H939" s="35" t="str">
        <x:f>IF(B939="","",IF(COUNTIFS($B$2:B939,B939,$C$2:C939,C939,$D$2:D939,D939)=1,E939-SUMIFS($G$2:$G$1001,$B$2:$B$1001,B939,$C$2:$C$1001,C939,$D$2:$D$1001,D939),0))</x:f>
      </x:c>
    </x:row>
    <x:row r="940" ht="24" customHeight="1">
      <x:c r="A940" s="34"/>
      <x:c r="B940" s="34"/>
      <x:c r="C940" s="34"/>
      <x:c r="D940" s="34"/>
      <x:c r="E940" s="35"/>
      <x:c r="F940" s="35"/>
      <x:c r="G940" s="35"/>
      <x:c r="H940" s="35" t="str">
        <x:f>IF(B940="","",IF(COUNTIFS($B$2:B940,B940,$C$2:C940,C940,$D$2:D940,D940)=1,E940-SUMIFS($G$2:$G$1001,$B$2:$B$1001,B940,$C$2:$C$1001,C940,$D$2:$D$1001,D940),0))</x:f>
      </x:c>
    </x:row>
    <x:row r="941" ht="24" customHeight="1">
      <x:c r="A941" s="34"/>
      <x:c r="B941" s="34"/>
      <x:c r="C941" s="34"/>
      <x:c r="D941" s="34"/>
      <x:c r="E941" s="35"/>
      <x:c r="F941" s="35"/>
      <x:c r="G941" s="35"/>
      <x:c r="H941" s="35" t="str">
        <x:f>IF(B941="","",IF(COUNTIFS($B$2:B941,B941,$C$2:C941,C941,$D$2:D941,D941)=1,E941-SUMIFS($G$2:$G$1001,$B$2:$B$1001,B941,$C$2:$C$1001,C941,$D$2:$D$1001,D941),0))</x:f>
      </x:c>
    </x:row>
    <x:row r="942" ht="24" customHeight="1">
      <x:c r="A942" s="34"/>
      <x:c r="B942" s="34"/>
      <x:c r="C942" s="34"/>
      <x:c r="D942" s="34"/>
      <x:c r="E942" s="35"/>
      <x:c r="F942" s="35"/>
      <x:c r="G942" s="35"/>
      <x:c r="H942" s="35" t="str">
        <x:f>IF(B942="","",IF(COUNTIFS($B$2:B942,B942,$C$2:C942,C942,$D$2:D942,D942)=1,E942-SUMIFS($G$2:$G$1001,$B$2:$B$1001,B942,$C$2:$C$1001,C942,$D$2:$D$1001,D942),0))</x:f>
      </x:c>
    </x:row>
    <x:row r="943" ht="24" customHeight="1">
      <x:c r="A943" s="34"/>
      <x:c r="B943" s="34"/>
      <x:c r="C943" s="34"/>
      <x:c r="D943" s="34"/>
      <x:c r="E943" s="35"/>
      <x:c r="F943" s="35"/>
      <x:c r="G943" s="35"/>
      <x:c r="H943" s="35" t="str">
        <x:f>IF(B943="","",IF(COUNTIFS($B$2:B943,B943,$C$2:C943,C943,$D$2:D943,D943)=1,E943-SUMIFS($G$2:$G$1001,$B$2:$B$1001,B943,$C$2:$C$1001,C943,$D$2:$D$1001,D943),0))</x:f>
      </x:c>
    </x:row>
    <x:row r="944" ht="24" customHeight="1">
      <x:c r="A944" s="34"/>
      <x:c r="B944" s="34"/>
      <x:c r="C944" s="34"/>
      <x:c r="D944" s="34"/>
      <x:c r="E944" s="35"/>
      <x:c r="F944" s="35"/>
      <x:c r="G944" s="35"/>
      <x:c r="H944" s="35" t="str">
        <x:f>IF(B944="","",IF(COUNTIFS($B$2:B944,B944,$C$2:C944,C944,$D$2:D944,D944)=1,E944-SUMIFS($G$2:$G$1001,$B$2:$B$1001,B944,$C$2:$C$1001,C944,$D$2:$D$1001,D944),0))</x:f>
      </x:c>
    </x:row>
    <x:row r="945" ht="24" customHeight="1">
      <x:c r="A945" s="34"/>
      <x:c r="B945" s="34"/>
      <x:c r="C945" s="34"/>
      <x:c r="D945" s="34"/>
      <x:c r="E945" s="35"/>
      <x:c r="F945" s="35"/>
      <x:c r="G945" s="35"/>
      <x:c r="H945" s="35" t="str">
        <x:f>IF(B945="","",IF(COUNTIFS($B$2:B945,B945,$C$2:C945,C945,$D$2:D945,D945)=1,E945-SUMIFS($G$2:$G$1001,$B$2:$B$1001,B945,$C$2:$C$1001,C945,$D$2:$D$1001,D945),0))</x:f>
      </x:c>
    </x:row>
    <x:row r="946" ht="24" customHeight="1">
      <x:c r="A946" s="34"/>
      <x:c r="B946" s="34"/>
      <x:c r="C946" s="34"/>
      <x:c r="D946" s="34"/>
      <x:c r="E946" s="35"/>
      <x:c r="F946" s="35"/>
      <x:c r="G946" s="35"/>
      <x:c r="H946" s="35" t="str">
        <x:f>IF(B946="","",IF(COUNTIFS($B$2:B946,B946,$C$2:C946,C946,$D$2:D946,D946)=1,E946-SUMIFS($G$2:$G$1001,$B$2:$B$1001,B946,$C$2:$C$1001,C946,$D$2:$D$1001,D946),0))</x:f>
      </x:c>
    </x:row>
    <x:row r="947" ht="24" customHeight="1">
      <x:c r="A947" s="34"/>
      <x:c r="B947" s="34"/>
      <x:c r="C947" s="34"/>
      <x:c r="D947" s="34"/>
      <x:c r="E947" s="35"/>
      <x:c r="F947" s="35"/>
      <x:c r="G947" s="35"/>
      <x:c r="H947" s="35" t="str">
        <x:f>IF(B947="","",IF(COUNTIFS($B$2:B947,B947,$C$2:C947,C947,$D$2:D947,D947)=1,E947-SUMIFS($G$2:$G$1001,$B$2:$B$1001,B947,$C$2:$C$1001,C947,$D$2:$D$1001,D947),0))</x:f>
      </x:c>
    </x:row>
    <x:row r="948" ht="24" customHeight="1">
      <x:c r="A948" s="34"/>
      <x:c r="B948" s="34"/>
      <x:c r="C948" s="34"/>
      <x:c r="D948" s="34"/>
      <x:c r="E948" s="35"/>
      <x:c r="F948" s="35"/>
      <x:c r="G948" s="35"/>
      <x:c r="H948" s="35" t="str">
        <x:f>IF(B948="","",IF(COUNTIFS($B$2:B948,B948,$C$2:C948,C948,$D$2:D948,D948)=1,E948-SUMIFS($G$2:$G$1001,$B$2:$B$1001,B948,$C$2:$C$1001,C948,$D$2:$D$1001,D948),0))</x:f>
      </x:c>
    </x:row>
    <x:row r="949" ht="24" customHeight="1">
      <x:c r="A949" s="34"/>
      <x:c r="B949" s="34"/>
      <x:c r="C949" s="34"/>
      <x:c r="D949" s="34"/>
      <x:c r="E949" s="35"/>
      <x:c r="F949" s="35"/>
      <x:c r="G949" s="35"/>
      <x:c r="H949" s="35" t="str">
        <x:f>IF(B949="","",IF(COUNTIFS($B$2:B949,B949,$C$2:C949,C949,$D$2:D949,D949)=1,E949-SUMIFS($G$2:$G$1001,$B$2:$B$1001,B949,$C$2:$C$1001,C949,$D$2:$D$1001,D949),0))</x:f>
      </x:c>
    </x:row>
    <x:row r="950" ht="24" customHeight="1">
      <x:c r="A950" s="34"/>
      <x:c r="B950" s="34"/>
      <x:c r="C950" s="34"/>
      <x:c r="D950" s="34"/>
      <x:c r="E950" s="35"/>
      <x:c r="F950" s="35"/>
      <x:c r="G950" s="35"/>
      <x:c r="H950" s="35" t="str">
        <x:f>IF(B950="","",IF(COUNTIFS($B$2:B950,B950,$C$2:C950,C950,$D$2:D950,D950)=1,E950-SUMIFS($G$2:$G$1001,$B$2:$B$1001,B950,$C$2:$C$1001,C950,$D$2:$D$1001,D950),0))</x:f>
      </x:c>
    </x:row>
    <x:row r="951" ht="24" customHeight="1">
      <x:c r="A951" s="34"/>
      <x:c r="B951" s="34"/>
      <x:c r="C951" s="34"/>
      <x:c r="D951" s="34"/>
      <x:c r="E951" s="35"/>
      <x:c r="F951" s="35"/>
      <x:c r="G951" s="35"/>
      <x:c r="H951" s="35" t="str">
        <x:f>IF(B951="","",IF(COUNTIFS($B$2:B951,B951,$C$2:C951,C951,$D$2:D951,D951)=1,E951-SUMIFS($G$2:$G$1001,$B$2:$B$1001,B951,$C$2:$C$1001,C951,$D$2:$D$1001,D951),0))</x:f>
      </x:c>
    </x:row>
    <x:row r="952" ht="24" customHeight="1">
      <x:c r="A952" s="34"/>
      <x:c r="B952" s="34"/>
      <x:c r="C952" s="34"/>
      <x:c r="D952" s="34"/>
      <x:c r="E952" s="35"/>
      <x:c r="F952" s="35"/>
      <x:c r="G952" s="35"/>
      <x:c r="H952" s="35" t="str">
        <x:f>IF(B952="","",IF(COUNTIFS($B$2:B952,B952,$C$2:C952,C952,$D$2:D952,D952)=1,E952-SUMIFS($G$2:$G$1001,$B$2:$B$1001,B952,$C$2:$C$1001,C952,$D$2:$D$1001,D952),0))</x:f>
      </x:c>
    </x:row>
    <x:row r="953" ht="24" customHeight="1">
      <x:c r="A953" s="34"/>
      <x:c r="B953" s="34"/>
      <x:c r="C953" s="34"/>
      <x:c r="D953" s="34"/>
      <x:c r="E953" s="35"/>
      <x:c r="F953" s="35"/>
      <x:c r="G953" s="35"/>
      <x:c r="H953" s="35" t="str">
        <x:f>IF(B953="","",IF(COUNTIFS($B$2:B953,B953,$C$2:C953,C953,$D$2:D953,D953)=1,E953-SUMIFS($G$2:$G$1001,$B$2:$B$1001,B953,$C$2:$C$1001,C953,$D$2:$D$1001,D953),0))</x:f>
      </x:c>
    </x:row>
    <x:row r="954" ht="24" customHeight="1">
      <x:c r="A954" s="34"/>
      <x:c r="B954" s="34"/>
      <x:c r="C954" s="34"/>
      <x:c r="D954" s="34"/>
      <x:c r="E954" s="35"/>
      <x:c r="F954" s="35"/>
      <x:c r="G954" s="35"/>
      <x:c r="H954" s="35" t="str">
        <x:f>IF(B954="","",IF(COUNTIFS($B$2:B954,B954,$C$2:C954,C954,$D$2:D954,D954)=1,E954-SUMIFS($G$2:$G$1001,$B$2:$B$1001,B954,$C$2:$C$1001,C954,$D$2:$D$1001,D954),0))</x:f>
      </x:c>
    </x:row>
    <x:row r="955" ht="24" customHeight="1">
      <x:c r="A955" s="34"/>
      <x:c r="B955" s="34"/>
      <x:c r="C955" s="34"/>
      <x:c r="D955" s="34"/>
      <x:c r="E955" s="35"/>
      <x:c r="F955" s="35"/>
      <x:c r="G955" s="35"/>
      <x:c r="H955" s="35" t="str">
        <x:f>IF(B955="","",IF(COUNTIFS($B$2:B955,B955,$C$2:C955,C955,$D$2:D955,D955)=1,E955-SUMIFS($G$2:$G$1001,$B$2:$B$1001,B955,$C$2:$C$1001,C955,$D$2:$D$1001,D955),0))</x:f>
      </x:c>
    </x:row>
    <x:row r="956" ht="24" customHeight="1">
      <x:c r="A956" s="34"/>
      <x:c r="B956" s="34"/>
      <x:c r="C956" s="34"/>
      <x:c r="D956" s="34"/>
      <x:c r="E956" s="35"/>
      <x:c r="F956" s="35"/>
      <x:c r="G956" s="35"/>
      <x:c r="H956" s="35" t="str">
        <x:f>IF(B956="","",IF(COUNTIFS($B$2:B956,B956,$C$2:C956,C956,$D$2:D956,D956)=1,E956-SUMIFS($G$2:$G$1001,$B$2:$B$1001,B956,$C$2:$C$1001,C956,$D$2:$D$1001,D956),0))</x:f>
      </x:c>
    </x:row>
    <x:row r="957" ht="24" customHeight="1">
      <x:c r="A957" s="34"/>
      <x:c r="B957" s="34"/>
      <x:c r="C957" s="34"/>
      <x:c r="D957" s="34"/>
      <x:c r="E957" s="35"/>
      <x:c r="F957" s="35"/>
      <x:c r="G957" s="35"/>
      <x:c r="H957" s="35" t="str">
        <x:f>IF(B957="","",IF(COUNTIFS($B$2:B957,B957,$C$2:C957,C957,$D$2:D957,D957)=1,E957-SUMIFS($G$2:$G$1001,$B$2:$B$1001,B957,$C$2:$C$1001,C957,$D$2:$D$1001,D957),0))</x:f>
      </x:c>
    </x:row>
    <x:row r="958" ht="24" customHeight="1">
      <x:c r="A958" s="34"/>
      <x:c r="B958" s="34"/>
      <x:c r="C958" s="34"/>
      <x:c r="D958" s="34"/>
      <x:c r="E958" s="35"/>
      <x:c r="F958" s="35"/>
      <x:c r="G958" s="35"/>
      <x:c r="H958" s="35" t="str">
        <x:f>IF(B958="","",IF(COUNTIFS($B$2:B958,B958,$C$2:C958,C958,$D$2:D958,D958)=1,E958-SUMIFS($G$2:$G$1001,$B$2:$B$1001,B958,$C$2:$C$1001,C958,$D$2:$D$1001,D958),0))</x:f>
      </x:c>
    </x:row>
    <x:row r="959" ht="24" customHeight="1">
      <x:c r="A959" s="34"/>
      <x:c r="B959" s="34"/>
      <x:c r="C959" s="34"/>
      <x:c r="D959" s="34"/>
      <x:c r="E959" s="35"/>
      <x:c r="F959" s="35"/>
      <x:c r="G959" s="35"/>
      <x:c r="H959" s="35" t="str">
        <x:f>IF(B959="","",IF(COUNTIFS($B$2:B959,B959,$C$2:C959,C959,$D$2:D959,D959)=1,E959-SUMIFS($G$2:$G$1001,$B$2:$B$1001,B959,$C$2:$C$1001,C959,$D$2:$D$1001,D959),0))</x:f>
      </x:c>
    </x:row>
    <x:row r="960" ht="24" customHeight="1">
      <x:c r="A960" s="34"/>
      <x:c r="B960" s="34"/>
      <x:c r="C960" s="34"/>
      <x:c r="D960" s="34"/>
      <x:c r="E960" s="35"/>
      <x:c r="F960" s="35"/>
      <x:c r="G960" s="35"/>
      <x:c r="H960" s="35" t="str">
        <x:f>IF(B960="","",IF(COUNTIFS($B$2:B960,B960,$C$2:C960,C960,$D$2:D960,D960)=1,E960-SUMIFS($G$2:$G$1001,$B$2:$B$1001,B960,$C$2:$C$1001,C960,$D$2:$D$1001,D960),0))</x:f>
      </x:c>
    </x:row>
    <x:row r="961" ht="24" customHeight="1">
      <x:c r="A961" s="34"/>
      <x:c r="B961" s="34"/>
      <x:c r="C961" s="34"/>
      <x:c r="D961" s="34"/>
      <x:c r="E961" s="35"/>
      <x:c r="F961" s="35"/>
      <x:c r="G961" s="35"/>
      <x:c r="H961" s="35" t="str">
        <x:f>IF(B961="","",IF(COUNTIFS($B$2:B961,B961,$C$2:C961,C961,$D$2:D961,D961)=1,E961-SUMIFS($G$2:$G$1001,$B$2:$B$1001,B961,$C$2:$C$1001,C961,$D$2:$D$1001,D961),0))</x:f>
      </x:c>
    </x:row>
    <x:row r="962" ht="24" customHeight="1">
      <x:c r="A962" s="34"/>
      <x:c r="B962" s="34"/>
      <x:c r="C962" s="34"/>
      <x:c r="D962" s="34"/>
      <x:c r="E962" s="35"/>
      <x:c r="F962" s="35"/>
      <x:c r="G962" s="35"/>
      <x:c r="H962" s="35" t="str">
        <x:f>IF(B962="","",IF(COUNTIFS($B$2:B962,B962,$C$2:C962,C962,$D$2:D962,D962)=1,E962-SUMIFS($G$2:$G$1001,$B$2:$B$1001,B962,$C$2:$C$1001,C962,$D$2:$D$1001,D962),0))</x:f>
      </x:c>
    </x:row>
    <x:row r="963" ht="24" customHeight="1">
      <x:c r="A963" s="34"/>
      <x:c r="B963" s="34"/>
      <x:c r="C963" s="34"/>
      <x:c r="D963" s="34"/>
      <x:c r="E963" s="35"/>
      <x:c r="F963" s="35"/>
      <x:c r="G963" s="35"/>
      <x:c r="H963" s="35" t="str">
        <x:f>IF(B963="","",IF(COUNTIFS($B$2:B963,B963,$C$2:C963,C963,$D$2:D963,D963)=1,E963-SUMIFS($G$2:$G$1001,$B$2:$B$1001,B963,$C$2:$C$1001,C963,$D$2:$D$1001,D963),0))</x:f>
      </x:c>
    </x:row>
    <x:row r="964" ht="24" customHeight="1">
      <x:c r="A964" s="34"/>
      <x:c r="B964" s="34"/>
      <x:c r="C964" s="34"/>
      <x:c r="D964" s="34"/>
      <x:c r="E964" s="35"/>
      <x:c r="F964" s="35"/>
      <x:c r="G964" s="35"/>
      <x:c r="H964" s="35" t="str">
        <x:f>IF(B964="","",IF(COUNTIFS($B$2:B964,B964,$C$2:C964,C964,$D$2:D964,D964)=1,E964-SUMIFS($G$2:$G$1001,$B$2:$B$1001,B964,$C$2:$C$1001,C964,$D$2:$D$1001,D964),0))</x:f>
      </x:c>
    </x:row>
    <x:row r="965" ht="24" customHeight="1">
      <x:c r="A965" s="34"/>
      <x:c r="B965" s="34"/>
      <x:c r="C965" s="34"/>
      <x:c r="D965" s="34"/>
      <x:c r="E965" s="35"/>
      <x:c r="F965" s="35"/>
      <x:c r="G965" s="35"/>
      <x:c r="H965" s="35" t="str">
        <x:f>IF(B965="","",IF(COUNTIFS($B$2:B965,B965,$C$2:C965,C965,$D$2:D965,D965)=1,E965-SUMIFS($G$2:$G$1001,$B$2:$B$1001,B965,$C$2:$C$1001,C965,$D$2:$D$1001,D965),0))</x:f>
      </x:c>
    </x:row>
    <x:row r="966" ht="24" customHeight="1">
      <x:c r="A966" s="34"/>
      <x:c r="B966" s="34"/>
      <x:c r="C966" s="34"/>
      <x:c r="D966" s="34"/>
      <x:c r="E966" s="35"/>
      <x:c r="F966" s="35"/>
      <x:c r="G966" s="35"/>
      <x:c r="H966" s="35" t="str">
        <x:f>IF(B966="","",IF(COUNTIFS($B$2:B966,B966,$C$2:C966,C966,$D$2:D966,D966)=1,E966-SUMIFS($G$2:$G$1001,$B$2:$B$1001,B966,$C$2:$C$1001,C966,$D$2:$D$1001,D966),0))</x:f>
      </x:c>
    </x:row>
    <x:row r="967" ht="24" customHeight="1">
      <x:c r="A967" s="34"/>
      <x:c r="B967" s="34"/>
      <x:c r="C967" s="34"/>
      <x:c r="D967" s="34"/>
      <x:c r="E967" s="35"/>
      <x:c r="F967" s="35"/>
      <x:c r="G967" s="35"/>
      <x:c r="H967" s="35" t="str">
        <x:f>IF(B967="","",IF(COUNTIFS($B$2:B967,B967,$C$2:C967,C967,$D$2:D967,D967)=1,E967-SUMIFS($G$2:$G$1001,$B$2:$B$1001,B967,$C$2:$C$1001,C967,$D$2:$D$1001,D967),0))</x:f>
      </x:c>
    </x:row>
    <x:row r="968" ht="24" customHeight="1">
      <x:c r="A968" s="34"/>
      <x:c r="B968" s="34"/>
      <x:c r="C968" s="34"/>
      <x:c r="D968" s="34"/>
      <x:c r="E968" s="35"/>
      <x:c r="F968" s="35"/>
      <x:c r="G968" s="35"/>
      <x:c r="H968" s="35" t="str">
        <x:f>IF(B968="","",IF(COUNTIFS($B$2:B968,B968,$C$2:C968,C968,$D$2:D968,D968)=1,E968-SUMIFS($G$2:$G$1001,$B$2:$B$1001,B968,$C$2:$C$1001,C968,$D$2:$D$1001,D968),0))</x:f>
      </x:c>
    </x:row>
    <x:row r="969" ht="24" customHeight="1">
      <x:c r="A969" s="34"/>
      <x:c r="B969" s="34"/>
      <x:c r="C969" s="34"/>
      <x:c r="D969" s="34"/>
      <x:c r="E969" s="35"/>
      <x:c r="F969" s="35"/>
      <x:c r="G969" s="35"/>
      <x:c r="H969" s="35" t="str">
        <x:f>IF(B969="","",IF(COUNTIFS($B$2:B969,B969,$C$2:C969,C969,$D$2:D969,D969)=1,E969-SUMIFS($G$2:$G$1001,$B$2:$B$1001,B969,$C$2:$C$1001,C969,$D$2:$D$1001,D969),0))</x:f>
      </x:c>
    </x:row>
    <x:row r="970" ht="24" customHeight="1">
      <x:c r="A970" s="34"/>
      <x:c r="B970" s="34"/>
      <x:c r="C970" s="34"/>
      <x:c r="D970" s="34"/>
      <x:c r="E970" s="35"/>
      <x:c r="F970" s="35"/>
      <x:c r="G970" s="35"/>
      <x:c r="H970" s="35" t="str">
        <x:f>IF(B970="","",IF(COUNTIFS($B$2:B970,B970,$C$2:C970,C970,$D$2:D970,D970)=1,E970-SUMIFS($G$2:$G$1001,$B$2:$B$1001,B970,$C$2:$C$1001,C970,$D$2:$D$1001,D970),0))</x:f>
      </x:c>
    </x:row>
    <x:row r="971" ht="24" customHeight="1">
      <x:c r="A971" s="34"/>
      <x:c r="B971" s="34"/>
      <x:c r="C971" s="34"/>
      <x:c r="D971" s="34"/>
      <x:c r="E971" s="35"/>
      <x:c r="F971" s="35"/>
      <x:c r="G971" s="35"/>
      <x:c r="H971" s="35" t="str">
        <x:f>IF(B971="","",IF(COUNTIFS($B$2:B971,B971,$C$2:C971,C971,$D$2:D971,D971)=1,E971-SUMIFS($G$2:$G$1001,$B$2:$B$1001,B971,$C$2:$C$1001,C971,$D$2:$D$1001,D971),0))</x:f>
      </x:c>
    </x:row>
    <x:row r="972" ht="24" customHeight="1">
      <x:c r="A972" s="34"/>
      <x:c r="B972" s="34"/>
      <x:c r="C972" s="34"/>
      <x:c r="D972" s="34"/>
      <x:c r="E972" s="35"/>
      <x:c r="F972" s="35"/>
      <x:c r="G972" s="35"/>
      <x:c r="H972" s="35" t="str">
        <x:f>IF(B972="","",IF(COUNTIFS($B$2:B972,B972,$C$2:C972,C972,$D$2:D972,D972)=1,E972-SUMIFS($G$2:$G$1001,$B$2:$B$1001,B972,$C$2:$C$1001,C972,$D$2:$D$1001,D972),0))</x:f>
      </x:c>
    </x:row>
    <x:row r="973" ht="24" customHeight="1">
      <x:c r="A973" s="34"/>
      <x:c r="B973" s="34"/>
      <x:c r="C973" s="34"/>
      <x:c r="D973" s="34"/>
      <x:c r="E973" s="35"/>
      <x:c r="F973" s="35"/>
      <x:c r="G973" s="35"/>
      <x:c r="H973" s="35" t="str">
        <x:f>IF(B973="","",IF(COUNTIFS($B$2:B973,B973,$C$2:C973,C973,$D$2:D973,D973)=1,E973-SUMIFS($G$2:$G$1001,$B$2:$B$1001,B973,$C$2:$C$1001,C973,$D$2:$D$1001,D973),0))</x:f>
      </x:c>
    </x:row>
    <x:row r="974" ht="24" customHeight="1">
      <x:c r="A974" s="34"/>
      <x:c r="B974" s="34"/>
      <x:c r="C974" s="34"/>
      <x:c r="D974" s="34"/>
      <x:c r="E974" s="35"/>
      <x:c r="F974" s="35"/>
      <x:c r="G974" s="35"/>
      <x:c r="H974" s="35" t="str">
        <x:f>IF(B974="","",IF(COUNTIFS($B$2:B974,B974,$C$2:C974,C974,$D$2:D974,D974)=1,E974-SUMIFS($G$2:$G$1001,$B$2:$B$1001,B974,$C$2:$C$1001,C974,$D$2:$D$1001,D974),0))</x:f>
      </x:c>
    </x:row>
    <x:row r="975" ht="24" customHeight="1">
      <x:c r="A975" s="34"/>
      <x:c r="B975" s="34"/>
      <x:c r="C975" s="34"/>
      <x:c r="D975" s="34"/>
      <x:c r="E975" s="35"/>
      <x:c r="F975" s="35"/>
      <x:c r="G975" s="35"/>
      <x:c r="H975" s="35" t="str">
        <x:f>IF(B975="","",IF(COUNTIFS($B$2:B975,B975,$C$2:C975,C975,$D$2:D975,D975)=1,E975-SUMIFS($G$2:$G$1001,$B$2:$B$1001,B975,$C$2:$C$1001,C975,$D$2:$D$1001,D975),0))</x:f>
      </x:c>
    </x:row>
    <x:row r="976" ht="24" customHeight="1">
      <x:c r="A976" s="34"/>
      <x:c r="B976" s="34"/>
      <x:c r="C976" s="34"/>
      <x:c r="D976" s="34"/>
      <x:c r="E976" s="35"/>
      <x:c r="F976" s="35"/>
      <x:c r="G976" s="35"/>
      <x:c r="H976" s="35" t="str">
        <x:f>IF(B976="","",IF(COUNTIFS($B$2:B976,B976,$C$2:C976,C976,$D$2:D976,D976)=1,E976-SUMIFS($G$2:$G$1001,$B$2:$B$1001,B976,$C$2:$C$1001,C976,$D$2:$D$1001,D976),0))</x:f>
      </x:c>
    </x:row>
    <x:row r="977" ht="24" customHeight="1">
      <x:c r="A977" s="34"/>
      <x:c r="B977" s="34"/>
      <x:c r="C977" s="34"/>
      <x:c r="D977" s="34"/>
      <x:c r="E977" s="35"/>
      <x:c r="F977" s="35"/>
      <x:c r="G977" s="35"/>
      <x:c r="H977" s="35" t="str">
        <x:f>IF(B977="","",IF(COUNTIFS($B$2:B977,B977,$C$2:C977,C977,$D$2:D977,D977)=1,E977-SUMIFS($G$2:$G$1001,$B$2:$B$1001,B977,$C$2:$C$1001,C977,$D$2:$D$1001,D977),0))</x:f>
      </x:c>
    </x:row>
    <x:row r="978" ht="24" customHeight="1">
      <x:c r="A978" s="34"/>
      <x:c r="B978" s="34"/>
      <x:c r="C978" s="34"/>
      <x:c r="D978" s="34"/>
      <x:c r="E978" s="35"/>
      <x:c r="F978" s="35"/>
      <x:c r="G978" s="35"/>
      <x:c r="H978" s="35" t="str">
        <x:f>IF(B978="","",IF(COUNTIFS($B$2:B978,B978,$C$2:C978,C978,$D$2:D978,D978)=1,E978-SUMIFS($G$2:$G$1001,$B$2:$B$1001,B978,$C$2:$C$1001,C978,$D$2:$D$1001,D978),0))</x:f>
      </x:c>
    </x:row>
    <x:row r="979" ht="24" customHeight="1">
      <x:c r="A979" s="34"/>
      <x:c r="B979" s="34"/>
      <x:c r="C979" s="34"/>
      <x:c r="D979" s="34"/>
      <x:c r="E979" s="35"/>
      <x:c r="F979" s="35"/>
      <x:c r="G979" s="35"/>
      <x:c r="H979" s="35" t="str">
        <x:f>IF(B979="","",IF(COUNTIFS($B$2:B979,B979,$C$2:C979,C979,$D$2:D979,D979)=1,E979-SUMIFS($G$2:$G$1001,$B$2:$B$1001,B979,$C$2:$C$1001,C979,$D$2:$D$1001,D979),0))</x:f>
      </x:c>
    </x:row>
    <x:row r="980" ht="24" customHeight="1">
      <x:c r="A980" s="34"/>
      <x:c r="B980" s="34"/>
      <x:c r="C980" s="34"/>
      <x:c r="D980" s="34"/>
      <x:c r="E980" s="35"/>
      <x:c r="F980" s="35"/>
      <x:c r="G980" s="35"/>
      <x:c r="H980" s="35" t="str">
        <x:f>IF(B980="","",IF(COUNTIFS($B$2:B980,B980,$C$2:C980,C980,$D$2:D980,D980)=1,E980-SUMIFS($G$2:$G$1001,$B$2:$B$1001,B980,$C$2:$C$1001,C980,$D$2:$D$1001,D980),0))</x:f>
      </x:c>
    </x:row>
    <x:row r="981" ht="24" customHeight="1">
      <x:c r="A981" s="34"/>
      <x:c r="B981" s="34"/>
      <x:c r="C981" s="34"/>
      <x:c r="D981" s="34"/>
      <x:c r="E981" s="35"/>
      <x:c r="F981" s="35"/>
      <x:c r="G981" s="35"/>
      <x:c r="H981" s="35" t="str">
        <x:f>IF(B981="","",IF(COUNTIFS($B$2:B981,B981,$C$2:C981,C981,$D$2:D981,D981)=1,E981-SUMIFS($G$2:$G$1001,$B$2:$B$1001,B981,$C$2:$C$1001,C981,$D$2:$D$1001,D981),0))</x:f>
      </x:c>
    </x:row>
    <x:row r="982" ht="24" customHeight="1">
      <x:c r="A982" s="34"/>
      <x:c r="B982" s="34"/>
      <x:c r="C982" s="34"/>
      <x:c r="D982" s="34"/>
      <x:c r="E982" s="35"/>
      <x:c r="F982" s="35"/>
      <x:c r="G982" s="35"/>
      <x:c r="H982" s="35" t="str">
        <x:f>IF(B982="","",IF(COUNTIFS($B$2:B982,B982,$C$2:C982,C982,$D$2:D982,D982)=1,E982-SUMIFS($G$2:$G$1001,$B$2:$B$1001,B982,$C$2:$C$1001,C982,$D$2:$D$1001,D982),0))</x:f>
      </x:c>
    </x:row>
    <x:row r="983" ht="24" customHeight="1">
      <x:c r="A983" s="34"/>
      <x:c r="B983" s="34"/>
      <x:c r="C983" s="34"/>
      <x:c r="D983" s="34"/>
      <x:c r="E983" s="35"/>
      <x:c r="F983" s="35"/>
      <x:c r="G983" s="35"/>
      <x:c r="H983" s="35" t="str">
        <x:f>IF(B983="","",IF(COUNTIFS($B$2:B983,B983,$C$2:C983,C983,$D$2:D983,D983)=1,E983-SUMIFS($G$2:$G$1001,$B$2:$B$1001,B983,$C$2:$C$1001,C983,$D$2:$D$1001,D983),0))</x:f>
      </x:c>
    </x:row>
    <x:row r="984" ht="24" customHeight="1">
      <x:c r="A984" s="34"/>
      <x:c r="B984" s="34"/>
      <x:c r="C984" s="34"/>
      <x:c r="D984" s="34"/>
      <x:c r="E984" s="35"/>
      <x:c r="F984" s="35"/>
      <x:c r="G984" s="35"/>
      <x:c r="H984" s="35" t="str">
        <x:f>IF(B984="","",IF(COUNTIFS($B$2:B984,B984,$C$2:C984,C984,$D$2:D984,D984)=1,E984-SUMIFS($G$2:$G$1001,$B$2:$B$1001,B984,$C$2:$C$1001,C984,$D$2:$D$1001,D984),0))</x:f>
      </x:c>
    </x:row>
    <x:row r="985" ht="24" customHeight="1">
      <x:c r="A985" s="34"/>
      <x:c r="B985" s="34"/>
      <x:c r="C985" s="34"/>
      <x:c r="D985" s="34"/>
      <x:c r="E985" s="35"/>
      <x:c r="F985" s="35"/>
      <x:c r="G985" s="35"/>
      <x:c r="H985" s="35" t="str">
        <x:f>IF(B985="","",IF(COUNTIFS($B$2:B985,B985,$C$2:C985,C985,$D$2:D985,D985)=1,E985-SUMIFS($G$2:$G$1001,$B$2:$B$1001,B985,$C$2:$C$1001,C985,$D$2:$D$1001,D985),0))</x:f>
      </x:c>
    </x:row>
    <x:row r="986" ht="24" customHeight="1">
      <x:c r="A986" s="34"/>
      <x:c r="B986" s="34"/>
      <x:c r="C986" s="34"/>
      <x:c r="D986" s="34"/>
      <x:c r="E986" s="35"/>
      <x:c r="F986" s="35"/>
      <x:c r="G986" s="35"/>
      <x:c r="H986" s="35" t="str">
        <x:f>IF(B986="","",IF(COUNTIFS($B$2:B986,B986,$C$2:C986,C986,$D$2:D986,D986)=1,E986-SUMIFS($G$2:$G$1001,$B$2:$B$1001,B986,$C$2:$C$1001,C986,$D$2:$D$1001,D986),0))</x:f>
      </x:c>
    </x:row>
    <x:row r="987" ht="24" customHeight="1">
      <x:c r="A987" s="34"/>
      <x:c r="B987" s="34"/>
      <x:c r="C987" s="34"/>
      <x:c r="D987" s="34"/>
      <x:c r="E987" s="35"/>
      <x:c r="F987" s="35"/>
      <x:c r="G987" s="35"/>
      <x:c r="H987" s="35" t="str">
        <x:f>IF(B987="","",IF(COUNTIFS($B$2:B987,B987,$C$2:C987,C987,$D$2:D987,D987)=1,E987-SUMIFS($G$2:$G$1001,$B$2:$B$1001,B987,$C$2:$C$1001,C987,$D$2:$D$1001,D987),0))</x:f>
      </x:c>
    </x:row>
    <x:row r="988" ht="24" customHeight="1">
      <x:c r="A988" s="34"/>
      <x:c r="B988" s="34"/>
      <x:c r="C988" s="34"/>
      <x:c r="D988" s="34"/>
      <x:c r="E988" s="35"/>
      <x:c r="F988" s="35"/>
      <x:c r="G988" s="35"/>
      <x:c r="H988" s="35" t="str">
        <x:f>IF(B988="","",IF(COUNTIFS($B$2:B988,B988,$C$2:C988,C988,$D$2:D988,D988)=1,E988-SUMIFS($G$2:$G$1001,$B$2:$B$1001,B988,$C$2:$C$1001,C988,$D$2:$D$1001,D988),0))</x:f>
      </x:c>
    </x:row>
    <x:row r="989" ht="24" customHeight="1">
      <x:c r="A989" s="34"/>
      <x:c r="B989" s="34"/>
      <x:c r="C989" s="34"/>
      <x:c r="D989" s="34"/>
      <x:c r="E989" s="35"/>
      <x:c r="F989" s="35"/>
      <x:c r="G989" s="35"/>
      <x:c r="H989" s="35" t="str">
        <x:f>IF(B989="","",IF(COUNTIFS($B$2:B989,B989,$C$2:C989,C989,$D$2:D989,D989)=1,E989-SUMIFS($G$2:$G$1001,$B$2:$B$1001,B989,$C$2:$C$1001,C989,$D$2:$D$1001,D989),0))</x:f>
      </x:c>
    </x:row>
    <x:row r="990" ht="24" customHeight="1">
      <x:c r="A990" s="34"/>
      <x:c r="B990" s="34"/>
      <x:c r="C990" s="34"/>
      <x:c r="D990" s="34"/>
      <x:c r="E990" s="35"/>
      <x:c r="F990" s="35"/>
      <x:c r="G990" s="35"/>
      <x:c r="H990" s="35" t="str">
        <x:f>IF(B990="","",IF(COUNTIFS($B$2:B990,B990,$C$2:C990,C990,$D$2:D990,D990)=1,E990-SUMIFS($G$2:$G$1001,$B$2:$B$1001,B990,$C$2:$C$1001,C990,$D$2:$D$1001,D990),0))</x:f>
      </x:c>
    </x:row>
    <x:row r="991" ht="24" customHeight="1">
      <x:c r="A991" s="34"/>
      <x:c r="B991" s="34"/>
      <x:c r="C991" s="34"/>
      <x:c r="D991" s="34"/>
      <x:c r="E991" s="35"/>
      <x:c r="F991" s="35"/>
      <x:c r="G991" s="35"/>
      <x:c r="H991" s="35" t="str">
        <x:f>IF(B991="","",IF(COUNTIFS($B$2:B991,B991,$C$2:C991,C991,$D$2:D991,D991)=1,E991-SUMIFS($G$2:$G$1001,$B$2:$B$1001,B991,$C$2:$C$1001,C991,$D$2:$D$1001,D991),0))</x:f>
      </x:c>
    </x:row>
    <x:row r="992" ht="24" customHeight="1">
      <x:c r="A992" s="34"/>
      <x:c r="B992" s="34"/>
      <x:c r="C992" s="34"/>
      <x:c r="D992" s="34"/>
      <x:c r="E992" s="35"/>
      <x:c r="F992" s="35"/>
      <x:c r="G992" s="35"/>
      <x:c r="H992" s="35" t="str">
        <x:f>IF(B992="","",IF(COUNTIFS($B$2:B992,B992,$C$2:C992,C992,$D$2:D992,D992)=1,E992-SUMIFS($G$2:$G$1001,$B$2:$B$1001,B992,$C$2:$C$1001,C992,$D$2:$D$1001,D992),0))</x:f>
      </x:c>
    </x:row>
    <x:row r="993" ht="24" customHeight="1">
      <x:c r="A993" s="34"/>
      <x:c r="B993" s="34"/>
      <x:c r="C993" s="34"/>
      <x:c r="D993" s="34"/>
      <x:c r="E993" s="35"/>
      <x:c r="F993" s="35"/>
      <x:c r="G993" s="35"/>
      <x:c r="H993" s="35" t="str">
        <x:f>IF(B993="","",IF(COUNTIFS($B$2:B993,B993,$C$2:C993,C993,$D$2:D993,D993)=1,E993-SUMIFS($G$2:$G$1001,$B$2:$B$1001,B993,$C$2:$C$1001,C993,$D$2:$D$1001,D993),0))</x:f>
      </x:c>
    </x:row>
    <x:row r="994" ht="24" customHeight="1">
      <x:c r="A994" s="34"/>
      <x:c r="B994" s="34"/>
      <x:c r="C994" s="34"/>
      <x:c r="D994" s="34"/>
      <x:c r="E994" s="35"/>
      <x:c r="F994" s="35"/>
      <x:c r="G994" s="35"/>
      <x:c r="H994" s="35" t="str">
        <x:f>IF(B994="","",IF(COUNTIFS($B$2:B994,B994,$C$2:C994,C994,$D$2:D994,D994)=1,E994-SUMIFS($G$2:$G$1001,$B$2:$B$1001,B994,$C$2:$C$1001,C994,$D$2:$D$1001,D994),0))</x:f>
      </x:c>
    </x:row>
    <x:row r="995" ht="24" customHeight="1">
      <x:c r="A995" s="34"/>
      <x:c r="B995" s="34"/>
      <x:c r="C995" s="34"/>
      <x:c r="D995" s="34"/>
      <x:c r="E995" s="35"/>
      <x:c r="F995" s="35"/>
      <x:c r="G995" s="35"/>
      <x:c r="H995" s="35" t="str">
        <x:f>IF(B995="","",IF(COUNTIFS($B$2:B995,B995,$C$2:C995,C995,$D$2:D995,D995)=1,E995-SUMIFS($G$2:$G$1001,$B$2:$B$1001,B995,$C$2:$C$1001,C995,$D$2:$D$1001,D995),0))</x:f>
      </x:c>
    </x:row>
    <x:row r="996" ht="24" customHeight="1">
      <x:c r="A996" s="34"/>
      <x:c r="B996" s="34"/>
      <x:c r="C996" s="34"/>
      <x:c r="D996" s="34"/>
      <x:c r="E996" s="35"/>
      <x:c r="F996" s="35"/>
      <x:c r="G996" s="35"/>
      <x:c r="H996" s="35" t="str">
        <x:f>IF(B996="","",IF(COUNTIFS($B$2:B996,B996,$C$2:C996,C996,$D$2:D996,D996)=1,E996-SUMIFS($G$2:$G$1001,$B$2:$B$1001,B996,$C$2:$C$1001,C996,$D$2:$D$1001,D996),0))</x:f>
      </x:c>
    </x:row>
    <x:row r="997" ht="24" customHeight="1">
      <x:c r="A997" s="34"/>
      <x:c r="B997" s="34"/>
      <x:c r="C997" s="34"/>
      <x:c r="D997" s="34"/>
      <x:c r="E997" s="35"/>
      <x:c r="F997" s="35"/>
      <x:c r="G997" s="35"/>
      <x:c r="H997" s="35" t="str">
        <x:f>IF(B997="","",IF(COUNTIFS($B$2:B997,B997,$C$2:C997,C997,$D$2:D997,D997)=1,E997-SUMIFS($G$2:$G$1001,$B$2:$B$1001,B997,$C$2:$C$1001,C997,$D$2:$D$1001,D997),0))</x:f>
      </x:c>
    </x:row>
    <x:row r="998" ht="24" customHeight="1">
      <x:c r="A998" s="34"/>
      <x:c r="B998" s="34"/>
      <x:c r="C998" s="34"/>
      <x:c r="D998" s="34"/>
      <x:c r="E998" s="35"/>
      <x:c r="F998" s="35"/>
      <x:c r="G998" s="35"/>
      <x:c r="H998" s="35" t="str">
        <x:f>IF(B998="","",IF(COUNTIFS($B$2:B998,B998,$C$2:C998,C998,$D$2:D998,D998)=1,E998-SUMIFS($G$2:$G$1001,$B$2:$B$1001,B998,$C$2:$C$1001,C998,$D$2:$D$1001,D998),0))</x:f>
      </x:c>
    </x:row>
    <x:row r="999" ht="24" customHeight="1">
      <x:c r="A999" s="34"/>
      <x:c r="B999" s="34"/>
      <x:c r="C999" s="34"/>
      <x:c r="D999" s="34"/>
      <x:c r="E999" s="35"/>
      <x:c r="F999" s="35"/>
      <x:c r="G999" s="35"/>
      <x:c r="H999" s="35" t="str">
        <x:f>IF(B999="","",IF(COUNTIFS($B$2:B999,B999,$C$2:C999,C999,$D$2:D999,D999)=1,E999-SUMIFS($G$2:$G$1001,$B$2:$B$1001,B999,$C$2:$C$1001,C999,$D$2:$D$1001,D999),0))</x:f>
      </x:c>
    </x:row>
    <x:row r="1000" ht="24" customHeight="1">
      <x:c r="A1000" s="34"/>
      <x:c r="B1000" s="34"/>
      <x:c r="C1000" s="34"/>
      <x:c r="D1000" s="34"/>
      <x:c r="E1000" s="35"/>
      <x:c r="F1000" s="35"/>
      <x:c r="G1000" s="35"/>
      <x:c r="H1000" s="35" t="str">
        <x:f>IF(B1000="","",IF(COUNTIFS($B$2:B1000,B1000,$C$2:C1000,C1000,$D$2:D1000,D1000)=1,E1000-SUMIFS($G$2:$G$1001,$B$2:$B$1001,B1000,$C$2:$C$1001,C1000,$D$2:$D$1001,D1000),0))</x:f>
      </x:c>
    </x:row>
    <x:row r="1001" ht="24" customHeight="1">
      <x:c r="A1001" s="34"/>
      <x:c r="B1001" s="34"/>
      <x:c r="C1001" s="34"/>
      <x:c r="D1001" s="34"/>
      <x:c r="E1001" s="35"/>
      <x:c r="F1001" s="35"/>
      <x:c r="G1001" s="35"/>
      <x:c r="H1001" s="35" t="str">
        <x:f>IF(B1001="","",IF(COUNTIFS($B$2:B1001,B1001,$C$2:C1001,C1001,$D$2:D1001,D1001)=1,E1001-SUMIFS($G$2:$G$1001,$B$2:$B$1001,B1001,$C$2:$C$1001,C1001,$D$2:$D$1001,D1001),0))</x:f>
      </x:c>
    </x:row>
  </x:sheetData>
  <x:dataValidations count="1">
    <x:dataValidation type="list" sqref="C2:C1001">
      <x:formula1>"January,February,March,April,May,June,July,August,September,October,November,December"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0" customHeight="1">
      <x:c r="A2" s="1"/>
      <x:c r="B2" s="37" t="str">
        <x:v>A calmer way to plan your money</x:v>
      </x:c>
      <x:c r="C2" s="37" t="str">
        <x:v>A calmer way to plan your money</x:v>
      </x:c>
      <x:c r="D2" s="37" t="str">
        <x:v>A calmer way to plan your money</x:v>
      </x:c>
      <x:c r="E2" s="37" t="str">
        <x:v>A calmer way to plan your money</x:v>
      </x:c>
      <x:c r="F2" s="37" t="str">
        <x:v>A calmer way to plan your money</x:v>
      </x:c>
      <x:c r="G2" s="37" t="str">
        <x:v>A calmer way to plan your money</x:v>
      </x:c>
      <x:c r="H2" s="37" t="str">
        <x:v>A calmer way to plan your money</x:v>
      </x:c>
      <x:c r="I2" s="1"/>
      <x:c r="J2" s="1"/>
      <x:c r="K2" s="1"/>
      <x:c r="L2" s="1"/>
    </x:row>
    <x:row r="3" ht="30" customHeight="1">
      <x:c r="A3" s="1"/>
      <x:c r="B3" s="37" t="str">
        <x:v>A calmer way to plan your money</x:v>
      </x:c>
      <x:c r="C3" s="37" t="str">
        <x:v>A calmer way to plan your money</x:v>
      </x:c>
      <x:c r="D3" s="37" t="str">
        <x:v>A calmer way to plan your money</x:v>
      </x:c>
      <x:c r="E3" s="37" t="str">
        <x:v>A calmer way to plan your money</x:v>
      </x:c>
      <x:c r="F3" s="37" t="str">
        <x:v>A calmer way to plan your money</x:v>
      </x:c>
      <x:c r="G3" s="37" t="str">
        <x:v>A calmer way to plan your money</x:v>
      </x:c>
      <x:c r="H3" s="37" t="str">
        <x:v>A calmer way to plan your money</x:v>
      </x:c>
      <x:c r="I3" s="1"/>
      <x:c r="J3" s="1"/>
      <x:c r="K3" s="1"/>
      <x:c r="L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4" customHeight="1">
      <x:c r="A5" s="1"/>
      <x:c r="B5" s="38" t="str">
        <x:v>Welcome to your Budget Planner</x:v>
      </x:c>
      <x:c r="C5" s="38" t="str">
        <x:v>Welcome to your Budget Planner</x:v>
      </x:c>
      <x:c r="D5" s="38" t="str">
        <x:v>Welcome to your Budget Planner</x:v>
      </x:c>
      <x:c r="E5" s="38" t="str">
        <x:v>Welcome to your Budget Planner</x:v>
      </x:c>
      <x:c r="F5" s="38" t="str">
        <x:v>Welcome to your Budget Planner</x:v>
      </x:c>
      <x:c r="G5" s="38" t="str">
        <x:v>Welcome to your Budget Planner</x:v>
      </x:c>
      <x:c r="H5" s="38" t="str">
        <x:v>Welcome to your Budget Planner</x:v>
      </x:c>
      <x:c r="I5" s="1"/>
      <x:c r="J5" s="1"/>
      <x:c r="K5" s="1"/>
      <x:c r="L5" s="1"/>
    </x:row>
    <x:row r="6" ht="24" customHeight="1">
      <x:c r="A6" s="1"/>
      <x:c r="B6" s="38" t="str">
        <x:v>Welcome to your Budget Planner</x:v>
      </x:c>
      <x:c r="C6" s="38" t="str">
        <x:v>Welcome to your Budget Planner</x:v>
      </x:c>
      <x:c r="D6" s="38" t="str">
        <x:v>Welcome to your Budget Planner</x:v>
      </x:c>
      <x:c r="E6" s="38" t="str">
        <x:v>Welcome to your Budget Planner</x:v>
      </x:c>
      <x:c r="F6" s="38" t="str">
        <x:v>Welcome to your Budget Planner</x:v>
      </x:c>
      <x:c r="G6" s="38" t="str">
        <x:v>Welcome to your Budget Planner</x:v>
      </x:c>
      <x:c r="H6" s="38" t="str">
        <x:v>Welcome to your Budget Planner</x:v>
      </x:c>
      <x:c r="I6" s="1"/>
      <x:c r="J6" s="1"/>
      <x:c r="K6" s="1"/>
      <x:c r="L6" s="1"/>
    </x:row>
    <x:row r="7" ht="24" customHeight="1">
      <x:c r="A7" s="1"/>
      <x:c r="B7" s="38" t="str">
        <x:v>Illustrative sample data is included. Replace it with your own figures before using the results.</x:v>
      </x:c>
      <x:c r="C7" s="38" t="str">
        <x:v>Illustrative sample data is included. Replace it with your own figures before using the results.</x:v>
      </x:c>
      <x:c r="D7" s="38" t="str">
        <x:v>Illustrative sample data is included. Replace it with your own figures before using the results.</x:v>
      </x:c>
      <x:c r="E7" s="38" t="str">
        <x:v>Illustrative sample data is included. Replace it with your own figures before using the results.</x:v>
      </x:c>
      <x:c r="F7" s="38" t="str">
        <x:v>Illustrative sample data is included. Replace it with your own figures before using the results.</x:v>
      </x:c>
      <x:c r="G7" s="38" t="str">
        <x:v>Illustrative sample data is included. Replace it with your own figures before using the results.</x:v>
      </x:c>
      <x:c r="H7" s="38" t="str">
        <x:v>Illustrative sample data is included. Replace it with your own figures before using the results.</x:v>
      </x:c>
      <x:c r="I7" s="1"/>
      <x:c r="J7" s="1"/>
      <x:c r="K7" s="1"/>
      <x:c r="L7" s="1"/>
    </x:row>
    <x:row r="8" ht="24" customHeight="1">
      <x:c r="A8" s="1"/>
      <x:c r="B8" s="38" t="str">
        <x:v>Illustrative sample data is included. Replace it with your own figures before using the results.</x:v>
      </x:c>
      <x:c r="C8" s="38" t="str">
        <x:v>Illustrative sample data is included. Replace it with your own figures before using the results.</x:v>
      </x:c>
      <x:c r="D8" s="38" t="str">
        <x:v>Illustrative sample data is included. Replace it with your own figures before using the results.</x:v>
      </x:c>
      <x:c r="E8" s="38" t="str">
        <x:v>Illustrative sample data is included. Replace it with your own figures before using the results.</x:v>
      </x:c>
      <x:c r="F8" s="38" t="str">
        <x:v>Illustrative sample data is included. Replace it with your own figures before using the results.</x:v>
      </x:c>
      <x:c r="G8" s="38" t="str">
        <x:v>Illustrative sample data is included. Replace it with your own figures before using the results.</x:v>
      </x:c>
      <x:c r="H8" s="38" t="str">
        <x:v>Illustrative sample data is included. Replace it with your own figures before using the results.</x:v>
      </x:c>
      <x:c r="I8" s="1"/>
      <x:c r="J8" s="1"/>
      <x:c r="K8" s="1"/>
      <x:c r="L8" s="1"/>
    </x:row>
    <x:row r="9" ht="24" customHeight="1">
      <x:c r="A9" s="1"/>
      <x:c r="B9" s="38" t="str">
        <x:v>1. Personalize Analytics: enter your name, currency, year and optional month. Choose By Month or By Category.</x:v>
      </x:c>
      <x:c r="C9" s="38" t="str">
        <x:v>1. Personalize Analytics: enter your name, currency, year and optional month. Choose By Month or By Category.</x:v>
      </x:c>
      <x:c r="D9" s="38" t="str">
        <x:v>1. Personalize Analytics: enter your name, currency, year and optional month. Choose By Month or By Category.</x:v>
      </x:c>
      <x:c r="E9" s="38" t="str">
        <x:v>1. Personalize Analytics: enter your name, currency, year and optional month. Choose By Month or By Category.</x:v>
      </x:c>
      <x:c r="F9" s="38" t="str">
        <x:v>1. Personalize Analytics: enter your name, currency, year and optional month. Choose By Month or By Category.</x:v>
      </x:c>
      <x:c r="G9" s="38" t="str">
        <x:v>1. Personalize Analytics: enter your name, currency, year and optional month. Choose By Month or By Category.</x:v>
      </x:c>
      <x:c r="H9" s="38" t="str">
        <x:v>1. Personalize Analytics: enter your name, currency, year and optional month. Choose By Month or By Category.</x:v>
      </x:c>
      <x:c r="I9" s="1"/>
      <x:c r="J9" s="1"/>
      <x:c r="K9" s="1"/>
      <x:c r="L9" s="1"/>
    </x:row>
    <x:row r="10" ht="24" customHeight="1">
      <x:c r="A10" s="1"/>
      <x:c r="B10" s="38" t="str">
        <x:v>1. Personalize Analytics: enter your name, currency, year and optional month. Choose By Month or By Category.</x:v>
      </x:c>
      <x:c r="C10" s="38" t="str">
        <x:v>1. Personalize Analytics: enter your name, currency, year and optional month. Choose By Month or By Category.</x:v>
      </x:c>
      <x:c r="D10" s="38" t="str">
        <x:v>1. Personalize Analytics: enter your name, currency, year and optional month. Choose By Month or By Category.</x:v>
      </x:c>
      <x:c r="E10" s="38" t="str">
        <x:v>1. Personalize Analytics: enter your name, currency, year and optional month. Choose By Month or By Category.</x:v>
      </x:c>
      <x:c r="F10" s="38" t="str">
        <x:v>1. Personalize Analytics: enter your name, currency, year and optional month. Choose By Month or By Category.</x:v>
      </x:c>
      <x:c r="G10" s="38" t="str">
        <x:v>1. Personalize Analytics: enter your name, currency, year and optional month. Choose By Month or By Category.</x:v>
      </x:c>
      <x:c r="H10" s="38" t="str">
        <x:v>1. Personalize Analytics: enter your name, currency, year and optional month. Choose By Month or By Category.</x:v>
      </x:c>
      <x:c r="I10" s="1"/>
      <x:c r="J10" s="1"/>
      <x:c r="K10" s="1"/>
      <x:c r="L10" s="1"/>
    </x:row>
    <x:row r="11" ht="24" customHeight="1">
      <x:c r="A11" s="1"/>
      <x:c r="B11" s="38" t="str">
        <x:v>2. Enter planned spending on MyBudget and actual spending on MyExpenses. Use real Excel dates.</x:v>
      </x:c>
      <x:c r="C11" s="38" t="str">
        <x:v>2. Enter planned spending on MyBudget and actual spending on MyExpenses. Use real Excel dates.</x:v>
      </x:c>
      <x:c r="D11" s="38" t="str">
        <x:v>2. Enter planned spending on MyBudget and actual spending on MyExpenses. Use real Excel dates.</x:v>
      </x:c>
      <x:c r="E11" s="38" t="str">
        <x:v>2. Enter planned spending on MyBudget and actual spending on MyExpenses. Use real Excel dates.</x:v>
      </x:c>
      <x:c r="F11" s="38" t="str">
        <x:v>2. Enter planned spending on MyBudget and actual spending on MyExpenses. Use real Excel dates.</x:v>
      </x:c>
      <x:c r="G11" s="38" t="str">
        <x:v>2. Enter planned spending on MyBudget and actual spending on MyExpenses. Use real Excel dates.</x:v>
      </x:c>
      <x:c r="H11" s="38" t="str">
        <x:v>2. Enter planned spending on MyBudget and actual spending on MyExpenses. Use real Excel dates.</x:v>
      </x:c>
      <x:c r="I11" s="1"/>
      <x:c r="J11" s="1"/>
      <x:c r="K11" s="1"/>
      <x:c r="L11" s="1"/>
    </x:row>
    <x:row r="12" ht="24" customHeight="1">
      <x:c r="A12" s="1"/>
      <x:c r="B12" s="38" t="str">
        <x:v>2. Enter planned spending on MyBudget and actual spending on MyExpenses. Use real Excel dates.</x:v>
      </x:c>
      <x:c r="C12" s="38" t="str">
        <x:v>2. Enter planned spending on MyBudget and actual spending on MyExpenses. Use real Excel dates.</x:v>
      </x:c>
      <x:c r="D12" s="38" t="str">
        <x:v>2. Enter planned spending on MyBudget and actual spending on MyExpenses. Use real Excel dates.</x:v>
      </x:c>
      <x:c r="E12" s="38" t="str">
        <x:v>2. Enter planned spending on MyBudget and actual spending on MyExpenses. Use real Excel dates.</x:v>
      </x:c>
      <x:c r="F12" s="38" t="str">
        <x:v>2. Enter planned spending on MyBudget and actual spending on MyExpenses. Use real Excel dates.</x:v>
      </x:c>
      <x:c r="G12" s="38" t="str">
        <x:v>2. Enter planned spending on MyBudget and actual spending on MyExpenses. Use real Excel dates.</x:v>
      </x:c>
      <x:c r="H12" s="38" t="str">
        <x:v>2. Enter planned spending on MyBudget and actual spending on MyExpenses. Use real Excel dates.</x:v>
      </x:c>
      <x:c r="I12" s="1"/>
      <x:c r="J12" s="1"/>
      <x:c r="K12" s="1"/>
      <x:c r="L12" s="1"/>
    </x:row>
    <x:row r="13" ht="24" customHeight="1">
      <x:c r="A13" s="1"/>
      <x:c r="B13" s="38" t="str">
        <x:v>3. Add income on My Income. Repeat the category, month, year and gross amount for every deduction row in the same record. Net Income is counted once per category/month/year.</x:v>
      </x:c>
      <x:c r="C13" s="38" t="str">
        <x:v>3. Add income on My Income. Repeat the category, month, year and gross amount for every deduction row in the same record. Net Income is counted once per category/month/year.</x:v>
      </x:c>
      <x:c r="D13" s="38" t="str">
        <x:v>3. Add income on My Income. Repeat the category, month, year and gross amount for every deduction row in the same record. Net Income is counted once per category/month/year.</x:v>
      </x:c>
      <x:c r="E13" s="38" t="str">
        <x:v>3. Add income on My Income. Repeat the category, month, year and gross amount for every deduction row in the same record. Net Income is counted once per category/month/year.</x:v>
      </x:c>
      <x:c r="F13" s="38" t="str">
        <x:v>3. Add income on My Income. Repeat the category, month, year and gross amount for every deduction row in the same record. Net Income is counted once per category/month/year.</x:v>
      </x:c>
      <x:c r="G13" s="38" t="str">
        <x:v>3. Add income on My Income. Repeat the category, month, year and gross amount for every deduction row in the same record. Net Income is counted once per category/month/year.</x:v>
      </x:c>
      <x:c r="H13" s="38" t="str">
        <x:v>3. Add income on My Income. Repeat the category, month, year and gross amount for every deduction row in the same record. Net Income is counted once per category/month/year.</x:v>
      </x:c>
      <x:c r="I13" s="1"/>
      <x:c r="J13" s="1"/>
      <x:c r="K13" s="1"/>
      <x:c r="L13" s="1"/>
    </x:row>
    <x:row r="14" ht="24" customHeight="1">
      <x:c r="A14" s="1"/>
      <x:c r="B14" s="38" t="str">
        <x:v>3. Add income on My Income. Repeat the category, month, year and gross amount for every deduction row in the same record. Net Income is counted once per category/month/year.</x:v>
      </x:c>
      <x:c r="C14" s="38" t="str">
        <x:v>3. Add income on My Income. Repeat the category, month, year and gross amount for every deduction row in the same record. Net Income is counted once per category/month/year.</x:v>
      </x:c>
      <x:c r="D14" s="38" t="str">
        <x:v>3. Add income on My Income. Repeat the category, month, year and gross amount for every deduction row in the same record. Net Income is counted once per category/month/year.</x:v>
      </x:c>
      <x:c r="E14" s="38" t="str">
        <x:v>3. Add income on My Income. Repeat the category, month, year and gross amount for every deduction row in the same record. Net Income is counted once per category/month/year.</x:v>
      </x:c>
      <x:c r="F14" s="38" t="str">
        <x:v>3. Add income on My Income. Repeat the category, month, year and gross amount for every deduction row in the same record. Net Income is counted once per category/month/year.</x:v>
      </x:c>
      <x:c r="G14" s="38" t="str">
        <x:v>3. Add income on My Income. Repeat the category, month, year and gross amount for every deduction row in the same record. Net Income is counted once per category/month/year.</x:v>
      </x:c>
      <x:c r="H14" s="38" t="str">
        <x:v>3. Add income on My Income. Repeat the category, month, year and gross amount for every deduction row in the same record. Net Income is counted once per category/month/year.</x:v>
      </x:c>
      <x:c r="I14" s="1"/>
      <x:c r="J14" s="1"/>
      <x:c r="K14" s="1"/>
      <x:c r="L14" s="1"/>
    </x:row>
    <x:row r="15" ht="24" customHeight="1">
      <x:c r="A15" s="1"/>
      <x:c r="B15" s="38" t="str">
        <x:v>4. Add custom categories to the yellow cells in Analytics (H39:H68). Monthly KPIs include all categories.</x:v>
      </x:c>
      <x:c r="C15" s="38" t="str">
        <x:v>4. Add custom categories to the yellow cells in Analytics (H39:H68). Monthly KPIs include all categories.</x:v>
      </x:c>
      <x:c r="D15" s="38" t="str">
        <x:v>4. Add custom categories to the yellow cells in Analytics (H39:H68). Monthly KPIs include all categories.</x:v>
      </x:c>
      <x:c r="E15" s="38" t="str">
        <x:v>4. Add custom categories to the yellow cells in Analytics (H39:H68). Monthly KPIs include all categories.</x:v>
      </x:c>
      <x:c r="F15" s="38" t="str">
        <x:v>4. Add custom categories to the yellow cells in Analytics (H39:H68). Monthly KPIs include all categories.</x:v>
      </x:c>
      <x:c r="G15" s="38" t="str">
        <x:v>4. Add custom categories to the yellow cells in Analytics (H39:H68). Monthly KPIs include all categories.</x:v>
      </x:c>
      <x:c r="H15" s="38" t="str">
        <x:v>4. Add custom categories to the yellow cells in Analytics (H39:H68). Monthly KPIs include all categories.</x:v>
      </x:c>
      <x:c r="I15" s="1"/>
      <x:c r="J15" s="1"/>
      <x:c r="K15" s="1"/>
      <x:c r="L15" s="1"/>
    </x:row>
    <x:row r="16" ht="24" customHeight="1">
      <x:c r="A16" s="1"/>
      <x:c r="B16" s="38" t="str">
        <x:v>4. Add custom categories to the yellow cells in Analytics (H39:H68). Monthly KPIs include all categories.</x:v>
      </x:c>
      <x:c r="C16" s="38" t="str">
        <x:v>4. Add custom categories to the yellow cells in Analytics (H39:H68). Monthly KPIs include all categories.</x:v>
      </x:c>
      <x:c r="D16" s="38" t="str">
        <x:v>4. Add custom categories to the yellow cells in Analytics (H39:H68). Monthly KPIs include all categories.</x:v>
      </x:c>
      <x:c r="E16" s="38" t="str">
        <x:v>4. Add custom categories to the yellow cells in Analytics (H39:H68). Monthly KPIs include all categories.</x:v>
      </x:c>
      <x:c r="F16" s="38" t="str">
        <x:v>4. Add custom categories to the yellow cells in Analytics (H39:H68). Monthly KPIs include all categories.</x:v>
      </x:c>
      <x:c r="G16" s="38" t="str">
        <x:v>4. Add custom categories to the yellow cells in Analytics (H39:H68). Monthly KPIs include all categories.</x:v>
      </x:c>
      <x:c r="H16" s="38" t="str">
        <x:v>4. Add custom categories to the yellow cells in Analytics (H39:H68). Monthly KPIs include all categories.</x:v>
      </x:c>
      <x:c r="I16" s="1"/>
      <x:c r="J16" s="1"/>
      <x:c r="K16" s="1"/>
      <x:c r="L16" s="1"/>
    </x:row>
    <x:row r="17" ht="24" customHeight="1">
      <x:c r="A17" s="1"/>
      <x:c r="B17" s="38" t="str">
        <x:v>5. Red Over Budget bars and status rows show spending above the plan. Available Balance is Net Income minus Expenses; Budget Remaining is Budget minus Expenses.</x:v>
      </x:c>
      <x:c r="C17" s="38" t="str">
        <x:v>5. Red Over Budget bars and status rows show spending above the plan. Available Balance is Net Income minus Expenses; Budget Remaining is Budget minus Expenses.</x:v>
      </x:c>
      <x:c r="D17" s="38" t="str">
        <x:v>5. Red Over Budget bars and status rows show spending above the plan. Available Balance is Net Income minus Expenses; Budget Remaining is Budget minus Expenses.</x:v>
      </x:c>
      <x:c r="E17" s="38" t="str">
        <x:v>5. Red Over Budget bars and status rows show spending above the plan. Available Balance is Net Income minus Expenses; Budget Remaining is Budget minus Expenses.</x:v>
      </x:c>
      <x:c r="F17" s="38" t="str">
        <x:v>5. Red Over Budget bars and status rows show spending above the plan. Available Balance is Net Income minus Expenses; Budget Remaining is Budget minus Expenses.</x:v>
      </x:c>
      <x:c r="G17" s="38" t="str">
        <x:v>5. Red Over Budget bars and status rows show spending above the plan. Available Balance is Net Income minus Expenses; Budget Remaining is Budget minus Expenses.</x:v>
      </x:c>
      <x:c r="H17" s="38" t="str">
        <x:v>5. Red Over Budget bars and status rows show spending above the plan. Available Balance is Net Income minus Expenses; Budget Remaining is Budget minus Expenses.</x:v>
      </x:c>
      <x:c r="I17" s="1"/>
      <x:c r="J17" s="1"/>
      <x:c r="K17" s="1"/>
      <x:c r="L17" s="1"/>
    </x:row>
    <x:row r="18" ht="24" customHeight="1">
      <x:c r="A18" s="1"/>
      <x:c r="B18" s="38" t="str">
        <x:v>5. Red Over Budget bars and status rows show spending above the plan. Available Balance is Net Income minus Expenses; Budget Remaining is Budget minus Expenses.</x:v>
      </x:c>
      <x:c r="C18" s="38" t="str">
        <x:v>5. Red Over Budget bars and status rows show spending above the plan. Available Balance is Net Income minus Expenses; Budget Remaining is Budget minus Expenses.</x:v>
      </x:c>
      <x:c r="D18" s="38" t="str">
        <x:v>5. Red Over Budget bars and status rows show spending above the plan. Available Balance is Net Income minus Expenses; Budget Remaining is Budget minus Expenses.</x:v>
      </x:c>
      <x:c r="E18" s="38" t="str">
        <x:v>5. Red Over Budget bars and status rows show spending above the plan. Available Balance is Net Income minus Expenses; Budget Remaining is Budget minus Expenses.</x:v>
      </x:c>
      <x:c r="F18" s="38" t="str">
        <x:v>5. Red Over Budget bars and status rows show spending above the plan. Available Balance is Net Income minus Expenses; Budget Remaining is Budget minus Expenses.</x:v>
      </x:c>
      <x:c r="G18" s="38" t="str">
        <x:v>5. Red Over Budget bars and status rows show spending above the plan. Available Balance is Net Income minus Expenses; Budget Remaining is Budget minus Expenses.</x:v>
      </x:c>
      <x:c r="H18" s="38" t="str">
        <x:v>5. Red Over Budget bars and status rows show spending above the plan. Available Balance is Net Income minus Expenses; Budget Remaining is Budget minus Expenses.</x:v>
      </x:c>
      <x:c r="I18" s="1"/>
      <x:c r="J18" s="1"/>
      <x:c r="K18" s="1"/>
      <x:c r="L18" s="1"/>
    </x:row>
    <x:row r="19" ht="24" customHeight="1">
      <x:c r="A19" s="1"/>
      <x:c r="B19" s="38" t="str">
        <x:v>6. Currency is a label, not an exchange-rate conversion. All figures must use one currency.</x:v>
      </x:c>
      <x:c r="C19" s="38" t="str">
        <x:v>6. Currency is a label, not an exchange-rate conversion. All figures must use one currency.</x:v>
      </x:c>
      <x:c r="D19" s="38" t="str">
        <x:v>6. Currency is a label, not an exchange-rate conversion. All figures must use one currency.</x:v>
      </x:c>
      <x:c r="E19" s="38" t="str">
        <x:v>6. Currency is a label, not an exchange-rate conversion. All figures must use one currency.</x:v>
      </x:c>
      <x:c r="F19" s="38" t="str">
        <x:v>6. Currency is a label, not an exchange-rate conversion. All figures must use one currency.</x:v>
      </x:c>
      <x:c r="G19" s="38" t="str">
        <x:v>6. Currency is a label, not an exchange-rate conversion. All figures must use one currency.</x:v>
      </x:c>
      <x:c r="H19" s="38" t="str">
        <x:v>6. Currency is a label, not an exchange-rate conversion. All figures must use one currency.</x:v>
      </x:c>
      <x:c r="I19" s="1"/>
      <x:c r="J19" s="1"/>
      <x:c r="K19" s="1"/>
      <x:c r="L19" s="1"/>
    </x:row>
    <x:row r="20" ht="24" customHeight="1">
      <x:c r="A20" s="1"/>
      <x:c r="B20" s="38" t="str">
        <x:v>6. Currency is a label, not an exchange-rate conversion. All figures must use one currency.</x:v>
      </x:c>
      <x:c r="C20" s="38" t="str">
        <x:v>6. Currency is a label, not an exchange-rate conversion. All figures must use one currency.</x:v>
      </x:c>
      <x:c r="D20" s="38" t="str">
        <x:v>6. Currency is a label, not an exchange-rate conversion. All figures must use one currency.</x:v>
      </x:c>
      <x:c r="E20" s="38" t="str">
        <x:v>6. Currency is a label, not an exchange-rate conversion. All figures must use one currency.</x:v>
      </x:c>
      <x:c r="F20" s="38" t="str">
        <x:v>6. Currency is a label, not an exchange-rate conversion. All figures must use one currency.</x:v>
      </x:c>
      <x:c r="G20" s="38" t="str">
        <x:v>6. Currency is a label, not an exchange-rate conversion. All figures must use one currency.</x:v>
      </x:c>
      <x:c r="H20" s="38" t="str">
        <x:v>6. Currency is a label, not an exchange-rate conversion. All figures must use one currency.</x:v>
      </x:c>
      <x:c r="I20" s="1"/>
      <x:c r="J20" s="1"/>
      <x:c r="K20" s="1"/>
      <x:c r="L20" s="1"/>
    </x:row>
    <x:row r="21" ht="24" customHeight="1">
      <x:c r="A21" s="1"/>
      <x:c r="B21" s="38" t="str">
        <x:v>Keep entries within rows 2–1001. For more rows, extend all source ranges and income formulas.</x:v>
      </x:c>
      <x:c r="C21" s="38" t="str">
        <x:v>Keep entries within rows 2–1001. For more rows, extend all source ranges and income formulas.</x:v>
      </x:c>
      <x:c r="D21" s="38" t="str">
        <x:v>Keep entries within rows 2–1001. For more rows, extend all source ranges and income formulas.</x:v>
      </x:c>
      <x:c r="E21" s="38" t="str">
        <x:v>Keep entries within rows 2–1001. For more rows, extend all source ranges and income formulas.</x:v>
      </x:c>
      <x:c r="F21" s="38" t="str">
        <x:v>Keep entries within rows 2–1001. For more rows, extend all source ranges and income formulas.</x:v>
      </x:c>
      <x:c r="G21" s="38" t="str">
        <x:v>Keep entries within rows 2–1001. For more rows, extend all source ranges and income formulas.</x:v>
      </x:c>
      <x:c r="H21" s="38" t="str">
        <x:v>Keep entries within rows 2–1001. For more rows, extend all source ranges and income formulas.</x:v>
      </x:c>
      <x:c r="I21" s="1"/>
      <x:c r="J21" s="1"/>
      <x:c r="K21" s="1"/>
      <x:c r="L21" s="1"/>
    </x:row>
    <x:row r="22" ht="24" customHeight="1">
      <x:c r="A22" s="1"/>
      <x:c r="B22" s="38" t="str">
        <x:v>Keep entries within rows 2–1001. For more rows, extend all source ranges and income formulas.</x:v>
      </x:c>
      <x:c r="C22" s="38" t="str">
        <x:v>Keep entries within rows 2–1001. For more rows, extend all source ranges and income formulas.</x:v>
      </x:c>
      <x:c r="D22" s="38" t="str">
        <x:v>Keep entries within rows 2–1001. For more rows, extend all source ranges and income formulas.</x:v>
      </x:c>
      <x:c r="E22" s="38" t="str">
        <x:v>Keep entries within rows 2–1001. For more rows, extend all source ranges and income formulas.</x:v>
      </x:c>
      <x:c r="F22" s="38" t="str">
        <x:v>Keep entries within rows 2–1001. For more rows, extend all source ranges and income formulas.</x:v>
      </x:c>
      <x:c r="G22" s="38" t="str">
        <x:v>Keep entries within rows 2–1001. For more rows, extend all source ranges and income formulas.</x:v>
      </x:c>
      <x:c r="H22" s="38" t="str">
        <x:v>Keep entries within rows 2–1001. For more rows, extend all source ranges and income formulas.</x:v>
      </x:c>
      <x:c r="I22" s="1"/>
      <x:c r="J22" s="1"/>
      <x:c r="K22" s="1"/>
      <x:c r="L22" s="1"/>
    </x:row>
    <x:row r="23" ht="24" customHeight="1">
      <x:c r="A23" s="1"/>
      <x:c r="B23" s="38" t="str">
        <x:v>The workbook works independently in Excel with automatic calculation enabled. No app login is required.</x:v>
      </x:c>
      <x:c r="C23" s="38" t="str">
        <x:v>The workbook works independently in Excel with automatic calculation enabled. No app login is required.</x:v>
      </x:c>
      <x:c r="D23" s="38" t="str">
        <x:v>The workbook works independently in Excel with automatic calculation enabled. No app login is required.</x:v>
      </x:c>
      <x:c r="E23" s="38" t="str">
        <x:v>The workbook works independently in Excel with automatic calculation enabled. No app login is required.</x:v>
      </x:c>
      <x:c r="F23" s="38" t="str">
        <x:v>The workbook works independently in Excel with automatic calculation enabled. No app login is required.</x:v>
      </x:c>
      <x:c r="G23" s="38" t="str">
        <x:v>The workbook works independently in Excel with automatic calculation enabled. No app login is required.</x:v>
      </x:c>
      <x:c r="H23" s="38" t="str">
        <x:v>The workbook works independently in Excel with automatic calculation enabled. No app login is required.</x:v>
      </x:c>
      <x:c r="I23" s="1"/>
      <x:c r="J23" s="1"/>
      <x:c r="K23" s="1"/>
      <x:c r="L23" s="1"/>
    </x:row>
    <x:row r="24" ht="24" customHeight="1">
      <x:c r="A24" s="1"/>
      <x:c r="B24" s="38" t="str">
        <x:v>The workbook works independently in Excel with automatic calculation enabled. No app login is required.</x:v>
      </x:c>
      <x:c r="C24" s="38" t="str">
        <x:v>The workbook works independently in Excel with automatic calculation enabled. No app login is required.</x:v>
      </x:c>
      <x:c r="D24" s="38" t="str">
        <x:v>The workbook works independently in Excel with automatic calculation enabled. No app login is required.</x:v>
      </x:c>
      <x:c r="E24" s="38" t="str">
        <x:v>The workbook works independently in Excel with automatic calculation enabled. No app login is required.</x:v>
      </x:c>
      <x:c r="F24" s="38" t="str">
        <x:v>The workbook works independently in Excel with automatic calculation enabled. No app login is required.</x:v>
      </x:c>
      <x:c r="G24" s="38" t="str">
        <x:v>The workbook works independently in Excel with automatic calculation enabled. No app login is required.</x:v>
      </x:c>
      <x:c r="H24" s="38" t="str">
        <x:v>The workbook works independently in Excel with automatic calculation enabled. No app login is required.</x:v>
      </x:c>
      <x:c r="I24" s="1"/>
      <x:c r="J24" s="1"/>
      <x:c r="K24" s="1"/>
      <x:c r="L24" s="1"/>
    </x:row>
    <x:row r="25" ht="24" customHeight="1">
      <x:c r="A25" s="1"/>
      <x:c r="B25" s="38" t="str">
        <x:v>Keep the three data-sheet headers unchanged if you import the workbook into the app.</x:v>
      </x:c>
      <x:c r="C25" s="38" t="str">
        <x:v>Keep the three data-sheet headers unchanged if you import the workbook into the app.</x:v>
      </x:c>
      <x:c r="D25" s="38" t="str">
        <x:v>Keep the three data-sheet headers unchanged if you import the workbook into the app.</x:v>
      </x:c>
      <x:c r="E25" s="38" t="str">
        <x:v>Keep the three data-sheet headers unchanged if you import the workbook into the app.</x:v>
      </x:c>
      <x:c r="F25" s="38" t="str">
        <x:v>Keep the three data-sheet headers unchanged if you import the workbook into the app.</x:v>
      </x:c>
      <x:c r="G25" s="38" t="str">
        <x:v>Keep the three data-sheet headers unchanged if you import the workbook into the app.</x:v>
      </x:c>
      <x:c r="H25" s="38" t="str">
        <x:v>Keep the three data-sheet headers unchanged if you import the workbook into the app.</x:v>
      </x:c>
      <x:c r="I25" s="1"/>
      <x:c r="J25" s="1"/>
      <x:c r="K25" s="1"/>
      <x:c r="L25" s="1"/>
    </x:row>
    <x:row r="26" ht="24" customHeight="1">
      <x:c r="A26" s="1"/>
      <x:c r="B26" s="38" t="str">
        <x:v>Keep the three data-sheet headers unchanged if you import the workbook into the app.</x:v>
      </x:c>
      <x:c r="C26" s="38" t="str">
        <x:v>Keep the three data-sheet headers unchanged if you import the workbook into the app.</x:v>
      </x:c>
      <x:c r="D26" s="38" t="str">
        <x:v>Keep the three data-sheet headers unchanged if you import the workbook into the app.</x:v>
      </x:c>
      <x:c r="E26" s="38" t="str">
        <x:v>Keep the three data-sheet headers unchanged if you import the workbook into the app.</x:v>
      </x:c>
      <x:c r="F26" s="38" t="str">
        <x:v>Keep the three data-sheet headers unchanged if you import the workbook into the app.</x:v>
      </x:c>
      <x:c r="G26" s="38" t="str">
        <x:v>Keep the three data-sheet headers unchanged if you import the workbook into the app.</x:v>
      </x:c>
      <x:c r="H26" s="38" t="str">
        <x:v>Keep the three data-sheet headers unchanged if you import the workbook into the app.</x:v>
      </x:c>
      <x:c r="I26" s="1"/>
      <x:c r="J26" s="1"/>
      <x:c r="K26" s="1"/>
      <x:c r="L26" s="1"/>
    </x:row>
    <x:row r="27" ht="24" customHeight="1">
      <x:c r="A27" s="1"/>
      <x:c r="B27" s="38" t="str">
        <x:v>RCCampo | PH | 2026</x:v>
      </x:c>
      <x:c r="C27" s="38" t="str">
        <x:v>RCCampo | PH | 2026</x:v>
      </x:c>
      <x:c r="D27" s="38" t="str">
        <x:v>RCCampo | PH | 2026</x:v>
      </x:c>
      <x:c r="E27" s="38" t="str">
        <x:v>RCCampo | PH | 2026</x:v>
      </x:c>
      <x:c r="F27" s="38" t="str">
        <x:v>RCCampo | PH | 2026</x:v>
      </x:c>
      <x:c r="G27" s="38" t="str">
        <x:v>RCCampo | PH | 2026</x:v>
      </x:c>
      <x:c r="H27" s="38" t="str">
        <x:v>RCCampo | PH | 2026</x:v>
      </x:c>
      <x:c r="I27" s="1"/>
      <x:c r="J27" s="1"/>
      <x:c r="K27" s="1"/>
      <x:c r="L27" s="1"/>
    </x:row>
    <x:row r="28" ht="24" customHeight="1">
      <x:c r="A28" s="1"/>
      <x:c r="B28" s="38" t="str">
        <x:v>RCCampo | PH | 2026</x:v>
      </x:c>
      <x:c r="C28" s="38" t="str">
        <x:v>RCCampo | PH | 2026</x:v>
      </x:c>
      <x:c r="D28" s="38" t="str">
        <x:v>RCCampo | PH | 2026</x:v>
      </x:c>
      <x:c r="E28" s="38" t="str">
        <x:v>RCCampo | PH | 2026</x:v>
      </x:c>
      <x:c r="F28" s="38" t="str">
        <x:v>RCCampo | PH | 2026</x:v>
      </x:c>
      <x:c r="G28" s="38" t="str">
        <x:v>RCCampo | PH | 2026</x:v>
      </x:c>
      <x:c r="H28" s="38" t="str">
        <x:v>RCCampo | PH | 2026</x:v>
      </x:c>
      <x:c r="I28" s="1"/>
      <x:c r="J28" s="1"/>
      <x:c r="K28" s="1"/>
      <x:c r="L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24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24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 ht="24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24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4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 ht="24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 ht="24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 ht="24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 ht="24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 ht="24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 ht="24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 ht="24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 ht="24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 ht="24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 ht="24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 ht="24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 ht="24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 ht="24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 ht="24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 ht="24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 ht="24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 ht="24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 ht="24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 ht="24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 ht="24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  <x:row r="66" ht="24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</x:row>
    <x:row r="67" ht="24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</x:row>
    <x:row r="68" ht="24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</x:row>
    <x:row r="69" ht="24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</x:row>
    <x:row r="70" ht="24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</x:row>
    <x:row r="71" ht="24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</x:row>
    <x:row r="72" ht="24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</x:row>
    <x:row r="73" ht="24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</x:row>
    <x:row r="74" ht="24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</x:row>
    <x:row r="75" ht="24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</x:row>
    <x:row r="76" ht="24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</x:row>
    <x:row r="77" ht="24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</x:row>
    <x:row r="78" ht="24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</x:row>
    <x:row r="79" ht="24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</x:row>
    <x:row r="80" ht="24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</x:row>
  </x:sheetData>
  <x:mergeCells>
    <x:mergeCell ref="B2:H3"/>
    <x:mergeCell ref="B5:H6"/>
    <x:mergeCell ref="B7:H8"/>
    <x:mergeCell ref="B9:H10"/>
    <x:mergeCell ref="B11:H12"/>
    <x:mergeCell ref="B13:H14"/>
    <x:mergeCell ref="B15:H16"/>
    <x:mergeCell ref="B17:H18"/>
    <x:mergeCell ref="B19:H20"/>
    <x:mergeCell ref="B21:H22"/>
    <x:mergeCell ref="B23:H24"/>
    <x:mergeCell ref="B25:H26"/>
    <x:mergeCell ref="B27:H28"/>
  </x:mergeCells>
  <x:pageMargins left="0.7" right="0.7" top="0.75" bottom="0.75" header="0.3" footer="0.3"/>
</x:worksheet>
</file>